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" sheetId="1" r:id="rId5"/>
    <sheet state="visible" name="Devices" sheetId="2" r:id="rId6"/>
    <sheet state="visible" name="Scenes" sheetId="3" r:id="rId7"/>
  </sheets>
  <definedNames>
    <definedName hidden="1" localSheetId="1" name="_xlnm._FilterDatabase">Devices!$A$1:$F$8</definedName>
    <definedName hidden="1" localSheetId="2" name="_xlnm._FilterDatabase">Scenes!$A$1:$A$21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FPS entier pour le calcul de Dur (30). Drop-frame non compté.</t>
      </text>
    </comment>
  </commentList>
</comments>
</file>

<file path=xl/sharedStrings.xml><?xml version="1.0" encoding="utf-8"?>
<sst xmlns="http://schemas.openxmlformats.org/spreadsheetml/2006/main" count="269" uniqueCount="159">
  <si>
    <t>SHOW CONTROL — TIMECODE CUE SHEET</t>
  </si>
  <si>
    <t>Show:</t>
  </si>
  <si>
    <t>Date:</t>
  </si>
  <si>
    <t>Venue:</t>
  </si>
  <si>
    <t>TC Source:</t>
  </si>
  <si>
    <t>LTC</t>
  </si>
  <si>
    <t>Programmer:</t>
  </si>
  <si>
    <t>FPS:</t>
  </si>
  <si>
    <t>Master:</t>
  </si>
  <si>
    <t>Q-SYS Core</t>
  </si>
  <si>
    <t>Version:</t>
  </si>
  <si>
    <t>v2.0</t>
  </si>
  <si>
    <t>Cue</t>
  </si>
  <si>
    <t>TC In</t>
  </si>
  <si>
    <t>TC Out</t>
  </si>
  <si>
    <t>Dur</t>
  </si>
  <si>
    <t>Label / Scene</t>
  </si>
  <si>
    <t>Trigger</t>
  </si>
  <si>
    <t>Dept</t>
  </si>
  <si>
    <t>Device / System</t>
  </si>
  <si>
    <t>Action / Command</t>
  </si>
  <si>
    <t>Addr / Ch</t>
  </si>
  <si>
    <t>Fade</t>
  </si>
  <si>
    <t>Status</t>
  </si>
  <si>
    <t>Notes</t>
  </si>
  <si>
    <t>f_in</t>
  </si>
  <si>
    <t>f_out</t>
  </si>
  <si>
    <t>ACT 1   ·   TC 00:56:00:00 → 01:42:00:00   ·   Ouverture @ 01:00:00:00   (Prologue = 4:00 pre-roll)</t>
  </si>
  <si>
    <t>0</t>
  </si>
  <si>
    <t>Preshow (Animation)</t>
  </si>
  <si>
    <t>GO</t>
  </si>
  <si>
    <t>Standby</t>
  </si>
  <si>
    <t>20:00 animation — pre-roll, no TC</t>
  </si>
  <si>
    <t>0.1</t>
  </si>
  <si>
    <t>00:56:00:00</t>
  </si>
  <si>
    <t>01:00:00:00</t>
  </si>
  <si>
    <t>Prologue</t>
  </si>
  <si>
    <t>TC Chase</t>
  </si>
  <si>
    <t>Live</t>
  </si>
  <si>
    <t>Parade</t>
  </si>
  <si>
    <t>1</t>
  </si>
  <si>
    <t>01:06:00:00</t>
  </si>
  <si>
    <t>Ouverture (Opening)</t>
  </si>
  <si>
    <t>Choreo ~3:00</t>
  </si>
  <si>
    <t>↳ 1.1</t>
  </si>
  <si>
    <t>01:07:00:00</t>
  </si>
  <si>
    <t>Transition</t>
  </si>
  <si>
    <t>Pat</t>
  </si>
  <si>
    <t>2</t>
  </si>
  <si>
    <t>01:12:00:00</t>
  </si>
  <si>
    <t>Trio Cerceau</t>
  </si>
  <si>
    <t>Langlois</t>
  </si>
  <si>
    <t>↳ 2.1</t>
  </si>
  <si>
    <t>01:14:00:00</t>
  </si>
  <si>
    <t>3</t>
  </si>
  <si>
    <t>01:20:00:00</t>
  </si>
  <si>
    <t>Juggling</t>
  </si>
  <si>
    <t>↳ 3.1</t>
  </si>
  <si>
    <t>01:21:00:00</t>
  </si>
  <si>
    <t>Ready</t>
  </si>
  <si>
    <t>4</t>
  </si>
  <si>
    <t>01:27:00:00</t>
  </si>
  <si>
    <t>Duo Clown</t>
  </si>
  <si>
    <t>↳ 4.1</t>
  </si>
  <si>
    <t>01:28:00:00</t>
  </si>
  <si>
    <t>Platform descend</t>
  </si>
  <si>
    <t>5</t>
  </si>
  <si>
    <t>01:33:00:00</t>
  </si>
  <si>
    <t>Aerial Platform</t>
  </si>
  <si>
    <t>Body mapping</t>
  </si>
  <si>
    <t>↳ 5.1</t>
  </si>
  <si>
    <t>01:35:00:00</t>
  </si>
  <si>
    <t>Moment on the roof</t>
  </si>
  <si>
    <t>6</t>
  </si>
  <si>
    <t>01:41:30:00</t>
  </si>
  <si>
    <t>Icarian / Teeter Board</t>
  </si>
  <si>
    <t>6.1</t>
  </si>
  <si>
    <t>01:42:00:00</t>
  </si>
  <si>
    <t>Inflatables</t>
  </si>
  <si>
    <t>INTERMISSION — 0:25:00   ·   last 5 min: audience through the house</t>
  </si>
  <si>
    <t>ACT 2   ·   TC 01:00:00:00 → 01:47:30:00</t>
  </si>
  <si>
    <t>6.2</t>
  </si>
  <si>
    <t>01:01:00:00</t>
  </si>
  <si>
    <t>Intro</t>
  </si>
  <si>
    <t>Masts climbing</t>
  </si>
  <si>
    <t>7</t>
  </si>
  <si>
    <t>01:07:30:00</t>
  </si>
  <si>
    <t>Aerial Ballet</t>
  </si>
  <si>
    <t>↳ 7.1</t>
  </si>
  <si>
    <t>01:08:30:00</t>
  </si>
  <si>
    <t>8</t>
  </si>
  <si>
    <t>01:15:30:00</t>
  </si>
  <si>
    <t>Duo Clown (Cadavre Exquis)</t>
  </si>
  <si>
    <t>↳ 8.1</t>
  </si>
  <si>
    <t>01:17:00:00</t>
  </si>
  <si>
    <t>Marbles set-up &amp; platform IN</t>
  </si>
  <si>
    <t>9</t>
  </si>
  <si>
    <t>01:23:30:00</t>
  </si>
  <si>
    <t>Rola Bola</t>
  </si>
  <si>
    <t>↳ 9.1</t>
  </si>
  <si>
    <t>01:26:00:00</t>
  </si>
  <si>
    <t>Transition (Twins loop)</t>
  </si>
  <si>
    <t>Platform OUT</t>
  </si>
  <si>
    <t>9.2</t>
  </si>
  <si>
    <t>Intro TGR</t>
  </si>
  <si>
    <t>10</t>
  </si>
  <si>
    <t>Ginger Rope</t>
  </si>
  <si>
    <t>↳ 10.1</t>
  </si>
  <si>
    <t>01:34:00:00</t>
  </si>
  <si>
    <t>10.2</t>
  </si>
  <si>
    <t>01:37:00:00</t>
  </si>
  <si>
    <t>Tournik set-up</t>
  </si>
  <si>
    <t>11</t>
  </si>
  <si>
    <t>01:44:30:00</t>
  </si>
  <si>
    <t>Rotating Tournik</t>
  </si>
  <si>
    <t>12</t>
  </si>
  <si>
    <t>01:47:30:00</t>
  </si>
  <si>
    <t>Bows (Inflatables + Bows)</t>
  </si>
  <si>
    <t>Type</t>
  </si>
  <si>
    <t>Protocol</t>
  </si>
  <si>
    <t>IP / Addr</t>
  </si>
  <si>
    <t>Port</t>
  </si>
  <si>
    <t>DSP / Control</t>
  </si>
  <si>
    <t>OSC / QRC</t>
  </si>
  <si>
    <t>192.168.10.10</t>
  </si>
  <si>
    <t>1710</t>
  </si>
  <si>
    <t>TC chase master (LTC out)</t>
  </si>
  <si>
    <t>grandMA3</t>
  </si>
  <si>
    <t>Lighting</t>
  </si>
  <si>
    <t>MA-Net / OSC</t>
  </si>
  <si>
    <t>192.168.10.20</t>
  </si>
  <si>
    <t>8000</t>
  </si>
  <si>
    <t>TC pool 1</t>
  </si>
  <si>
    <t>disguise gx3</t>
  </si>
  <si>
    <t>Media Server</t>
  </si>
  <si>
    <t>OSC</t>
  </si>
  <si>
    <t>192.168.10.30</t>
  </si>
  <si>
    <t>2323</t>
  </si>
  <si>
    <t>LTC in from Core</t>
  </si>
  <si>
    <t>Resolume Arena</t>
  </si>
  <si>
    <t>192.168.10.31</t>
  </si>
  <si>
    <t>7000</t>
  </si>
  <si>
    <t>Yamaha CL5</t>
  </si>
  <si>
    <t>FOH Console</t>
  </si>
  <si>
    <t>MIDI / OSC</t>
  </si>
  <si>
    <t>192.168.10.40</t>
  </si>
  <si>
    <t>—</t>
  </si>
  <si>
    <t>Scene recall (MMC)</t>
  </si>
  <si>
    <t>Dante Domain</t>
  </si>
  <si>
    <t>Audio Net</t>
  </si>
  <si>
    <t>Dante / AES67</t>
  </si>
  <si>
    <t>192.168.20.0/24</t>
  </si>
  <si>
    <t>PTPv2 GM = Core</t>
  </si>
  <si>
    <t>Body Map Rig</t>
  </si>
  <si>
    <t>Projection</t>
  </si>
  <si>
    <t>Art-Net / NDI</t>
  </si>
  <si>
    <t>192.168.10.50</t>
  </si>
  <si>
    <t>Aerial Platform mapping</t>
  </si>
  <si>
    <t>Scene / 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</si>
</sst>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0.0"/>
      <color rgb="FF33414F"/>
      <name val="Arial"/>
    </font>
    <font>
      <sz val="10.0"/>
      <color theme="1"/>
      <name val="Arial"/>
    </font>
    <font>
      <b/>
      <sz val="10.0"/>
      <color rgb="FFFFFFFF"/>
      <name val="Arial"/>
    </font>
    <font>
      <sz val="8.0"/>
      <color rgb="FF8A93A0"/>
      <name val="Arial"/>
    </font>
    <font>
      <b/>
      <sz val="11.0"/>
      <color rgb="FFFFFFFF"/>
      <name val="Arial"/>
    </font>
    <font>
      <sz val="10.0"/>
      <color rgb="FF111820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0.0"/>
      <color rgb="FF111820"/>
      <name val="Arial"/>
    </font>
    <font>
      <i/>
      <sz val="10.0"/>
      <color rgb="FF8A93A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D7DD2"/>
        <bgColor rgb="FF2D7DD2"/>
      </patternFill>
    </fill>
    <fill>
      <patternFill patternType="solid">
        <fgColor rgb="FFEEF1F4"/>
        <bgColor rgb="FFEEF1F4"/>
      </patternFill>
    </fill>
    <fill>
      <patternFill patternType="solid">
        <fgColor rgb="FF1F2733"/>
        <bgColor rgb="FF1F2733"/>
      </patternFill>
    </fill>
    <fill>
      <patternFill patternType="solid">
        <fgColor rgb="FF33414F"/>
        <bgColor rgb="FF33414F"/>
      </patternFill>
    </fill>
    <fill>
      <patternFill patternType="solid">
        <fgColor rgb="FFF7F9FB"/>
        <bgColor rgb="FFF7F9FB"/>
      </patternFill>
    </fill>
    <fill>
      <patternFill patternType="solid">
        <fgColor rgb="FFFBFCFD"/>
        <bgColor rgb="FFFBFCFD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7CDD4"/>
      </left>
      <top style="thin">
        <color rgb="FFC7CDD4"/>
      </top>
      <bottom style="thin">
        <color rgb="FFC7CDD4"/>
      </bottom>
    </border>
    <border>
      <top style="thin">
        <color rgb="FFC7CDD4"/>
      </top>
      <bottom style="thin">
        <color rgb="FFC7CDD4"/>
      </bottom>
    </border>
    <border>
      <right style="thin">
        <color rgb="FFC7CDD4"/>
      </right>
      <top style="thin">
        <color rgb="FFC7CDD4"/>
      </top>
      <bottom style="thin">
        <color rgb="FFC7CDD4"/>
      </bottom>
    </border>
    <border>
      <left style="thin">
        <color rgb="FFC7CDD4"/>
      </left>
      <right style="thin">
        <color rgb="FFC7CDD4"/>
      </right>
      <top style="thin">
        <color rgb="FFC7CDD4"/>
      </top>
      <bottom style="thin">
        <color rgb="FFC7CDD4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5" fillId="0" fontId="2" numFmtId="0" xfId="0" applyBorder="1" applyFont="1"/>
    <xf borderId="6" fillId="0" fontId="2" numFmtId="0" xfId="0" applyBorder="1" applyFont="1"/>
    <xf borderId="4" fillId="3" fontId="4" numFmtId="164" xfId="0" applyAlignment="1" applyBorder="1" applyFont="1" applyNumberFormat="1">
      <alignment readingOrder="0" shrinkToFit="0" vertical="center" wrapText="0"/>
    </xf>
    <xf borderId="7" fillId="3" fontId="4" numFmtId="0" xfId="0" applyAlignment="1" applyBorder="1" applyFont="1">
      <alignment shrinkToFit="0" vertical="center" wrapText="0"/>
    </xf>
    <xf borderId="7" fillId="4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1" fillId="5" fontId="7" numFmtId="0" xfId="0" applyAlignment="1" applyBorder="1" applyFill="1" applyFont="1">
      <alignment horizontal="left" shrinkToFit="0" vertical="center" wrapText="0"/>
    </xf>
    <xf borderId="7" fillId="6" fontId="8" numFmtId="0" xfId="0" applyAlignment="1" applyBorder="1" applyFill="1" applyFont="1">
      <alignment horizontal="center" shrinkToFit="0" vertical="center" wrapText="0"/>
    </xf>
    <xf borderId="7" fillId="6" fontId="3" numFmtId="0" xfId="0" applyAlignment="1" applyBorder="1" applyFont="1">
      <alignment horizontal="center" shrinkToFit="0" vertical="center" wrapText="0"/>
    </xf>
    <xf borderId="7" fillId="6" fontId="8" numFmtId="0" xfId="0" applyAlignment="1" applyBorder="1" applyFont="1">
      <alignment horizontal="left" shrinkToFit="0" vertical="center" wrapText="0"/>
    </xf>
    <xf borderId="0" fillId="0" fontId="9" numFmtId="0" xfId="0" applyFont="1"/>
    <xf borderId="7" fillId="6" fontId="8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shrinkToFit="0" vertical="bottom" wrapText="0"/>
    </xf>
    <xf borderId="7" fillId="0" fontId="11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7" fillId="0" fontId="11" numFmtId="0" xfId="0" applyAlignment="1" applyBorder="1" applyFont="1">
      <alignment horizontal="left" shrinkToFit="0" vertical="center" wrapText="0"/>
    </xf>
    <xf borderId="7" fillId="7" fontId="12" numFmtId="0" xfId="0" applyAlignment="1" applyBorder="1" applyFill="1" applyFont="1">
      <alignment horizontal="center" shrinkToFit="0" vertical="center" wrapText="0"/>
    </xf>
    <xf borderId="7" fillId="7" fontId="3" numFmtId="0" xfId="0" applyAlignment="1" applyBorder="1" applyFont="1">
      <alignment horizontal="center" shrinkToFit="0" vertical="center" wrapText="0"/>
    </xf>
    <xf borderId="7" fillId="7" fontId="12" numFmtId="0" xfId="0" applyAlignment="1" applyBorder="1" applyFont="1">
      <alignment horizontal="left" shrinkToFit="0" vertical="center" wrapText="0"/>
    </xf>
    <xf borderId="7" fillId="7" fontId="12" numFmtId="0" xfId="0" applyAlignment="1" applyBorder="1" applyFont="1">
      <alignment horizontal="left" readingOrder="0" shrinkToFit="0" vertical="center" wrapText="0"/>
    </xf>
    <xf borderId="7" fillId="0" fontId="11" numFmtId="0" xfId="0" applyAlignment="1" applyBorder="1" applyFont="1">
      <alignment horizontal="left" readingOrder="0" shrinkToFit="0" vertical="center" wrapText="0"/>
    </xf>
    <xf borderId="7" fillId="7" fontId="12" numFmtId="0" xfId="0" applyAlignment="1" applyBorder="1" applyFont="1">
      <alignment horizontal="center" readingOrder="0" shrinkToFit="0" vertical="center" wrapText="0"/>
    </xf>
    <xf borderId="7" fillId="0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>
        <b/>
        <sz val="10.0"/>
        <color rgb="FFFFFFFF"/>
        <name val="Arial"/>
      </font>
      <fill>
        <patternFill patternType="solid">
          <fgColor rgb="FFE03131"/>
          <bgColor rgb="FFE03131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2F9E44"/>
          <bgColor rgb="FF2F9E44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F08C00"/>
          <bgColor rgb="FFF08C00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1971C2"/>
          <bgColor rgb="FF1971C2"/>
        </patternFill>
      </fill>
      <border/>
    </dxf>
    <dxf>
      <font>
        <sz val="10.0"/>
        <color rgb="FF5C636A"/>
        <name val="Arial"/>
      </font>
      <fill>
        <patternFill patternType="solid">
          <fgColor rgb="FFDEE2E6"/>
          <bgColor rgb="FFDEE2E6"/>
        </patternFill>
      </fill>
      <border/>
    </dxf>
    <dxf>
      <font>
        <b/>
        <strike/>
        <sz val="10.0"/>
        <color rgb="FFFFFFFF"/>
        <name val="Arial"/>
      </font>
      <fill>
        <patternFill patternType="solid">
          <fgColor rgb="FF495057"/>
          <bgColor rgb="FF49505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0"/>
    <col customWidth="1" min="2" max="3" width="12.0"/>
    <col customWidth="1" min="4" max="4" width="11.0"/>
    <col customWidth="1" min="5" max="5" width="36.0"/>
    <col customWidth="1" min="6" max="6" width="12.0"/>
    <col customWidth="1" min="7" max="7" width="11.0"/>
    <col customWidth="1" min="8" max="8" width="18.0"/>
    <col customWidth="1" min="9" max="9" width="26.0"/>
    <col customWidth="1" min="10" max="10" width="11.0"/>
    <col customWidth="1" min="11" max="11" width="7.0"/>
    <col customWidth="1" min="12" max="12" width="11.0"/>
    <col customWidth="1" min="13" max="13" width="30.0"/>
    <col customWidth="1" hidden="1" min="14" max="15" width="13.0"/>
    <col customWidth="1" min="16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/>
      <c r="C2" s="6"/>
      <c r="D2" s="6"/>
      <c r="E2" s="7"/>
      <c r="G2" s="4" t="s">
        <v>2</v>
      </c>
      <c r="H2" s="8">
        <v>46184.0</v>
      </c>
      <c r="I2" s="7"/>
    </row>
    <row r="3">
      <c r="A3" s="4" t="s">
        <v>3</v>
      </c>
      <c r="B3" s="5"/>
      <c r="C3" s="6"/>
      <c r="D3" s="6"/>
      <c r="E3" s="7"/>
      <c r="G3" s="4" t="s">
        <v>4</v>
      </c>
      <c r="H3" s="5" t="s">
        <v>5</v>
      </c>
      <c r="I3" s="7"/>
    </row>
    <row r="4">
      <c r="A4" s="4" t="s">
        <v>6</v>
      </c>
      <c r="B4" s="5"/>
      <c r="C4" s="6"/>
      <c r="D4" s="6"/>
      <c r="E4" s="7"/>
      <c r="G4" s="4" t="s">
        <v>7</v>
      </c>
      <c r="H4" s="9">
        <v>30.0</v>
      </c>
    </row>
    <row r="5">
      <c r="A5" s="4" t="s">
        <v>8</v>
      </c>
      <c r="B5" s="5" t="s">
        <v>9</v>
      </c>
      <c r="C5" s="6"/>
      <c r="D5" s="6"/>
      <c r="E5" s="7"/>
      <c r="G5" s="4" t="s">
        <v>10</v>
      </c>
      <c r="H5" s="9" t="s">
        <v>11</v>
      </c>
    </row>
    <row r="7" ht="21.75" customHeight="1">
      <c r="A7" s="10" t="s">
        <v>12</v>
      </c>
      <c r="B7" s="10" t="s">
        <v>13</v>
      </c>
      <c r="C7" s="10" t="s">
        <v>14</v>
      </c>
      <c r="D7" s="10" t="s">
        <v>15</v>
      </c>
      <c r="E7" s="10" t="s">
        <v>16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11" t="s">
        <v>25</v>
      </c>
      <c r="O7" s="11" t="s">
        <v>26</v>
      </c>
    </row>
    <row r="8" ht="19.5" customHeight="1">
      <c r="A8" s="12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</row>
    <row r="9">
      <c r="A9" s="13" t="s">
        <v>28</v>
      </c>
      <c r="B9" s="13"/>
      <c r="C9" s="13"/>
      <c r="D9" s="14" t="str">
        <f t="shared" ref="D9:D22" si="2">IF(OR(N9="",O9=""),"",TEXT(INT((MOD(O9-N9,86400*$H$4))/(3600*$H$4)),"00")&amp;":"&amp;TEXT(INT(MOD(MOD(O9-N9,86400*$H$4),3600*$H$4)/(60*$H$4)),"00")&amp;":"&amp;TEXT(INT(MOD(MOD(O9-N9,86400*$H$4),60*$H$4)/$H$4),"00")&amp;":"&amp;TEXT(MOD(MOD(O9-N9,86400*$H$4),$H$4),"00"))</f>
        <v/>
      </c>
      <c r="E9" s="15" t="s">
        <v>29</v>
      </c>
      <c r="F9" s="13" t="s">
        <v>30</v>
      </c>
      <c r="G9" s="13"/>
      <c r="H9" s="15"/>
      <c r="I9" s="15"/>
      <c r="J9" s="13"/>
      <c r="K9" s="13"/>
      <c r="L9" s="13" t="s">
        <v>31</v>
      </c>
      <c r="M9" s="15" t="s">
        <v>32</v>
      </c>
      <c r="N9" s="16" t="str">
        <f t="shared" ref="N9:O9" si="1">IF(B9="","",(VALUE(LEFT(B9,2))*3600+VALUE(MID(B9,4,2))*60+VALUE(MID(B9,7,2)))*$H$4+VALUE(RIGHT(B9,2)))</f>
        <v/>
      </c>
      <c r="O9" s="16" t="str">
        <f t="shared" si="1"/>
        <v/>
      </c>
    </row>
    <row r="10">
      <c r="A10" s="13" t="s">
        <v>33</v>
      </c>
      <c r="B10" s="13" t="s">
        <v>34</v>
      </c>
      <c r="C10" s="13" t="s">
        <v>35</v>
      </c>
      <c r="D10" s="14" t="str">
        <f t="shared" si="2"/>
        <v>00:04:00:00</v>
      </c>
      <c r="E10" s="15" t="s">
        <v>36</v>
      </c>
      <c r="F10" s="13" t="s">
        <v>37</v>
      </c>
      <c r="G10" s="13"/>
      <c r="H10" s="15"/>
      <c r="I10" s="15"/>
      <c r="J10" s="13"/>
      <c r="K10" s="13"/>
      <c r="L10" s="17" t="s">
        <v>38</v>
      </c>
      <c r="M10" s="15" t="s">
        <v>39</v>
      </c>
      <c r="N10" s="18">
        <f t="shared" ref="N10:O10" si="3">IF(B10="","",(VALUE(LEFT(B10,2))*3600+VALUE(MID(B10,4,2))*60+VALUE(MID(B10,7,2)))*$H$4+VALUE(RIGHT(B10,2)))</f>
        <v>100800</v>
      </c>
      <c r="O10" s="18">
        <f t="shared" si="3"/>
        <v>108000</v>
      </c>
    </row>
    <row r="11">
      <c r="A11" s="19" t="s">
        <v>40</v>
      </c>
      <c r="B11" s="19" t="s">
        <v>35</v>
      </c>
      <c r="C11" s="19" t="s">
        <v>41</v>
      </c>
      <c r="D11" s="20" t="str">
        <f t="shared" si="2"/>
        <v>00:06:00:00</v>
      </c>
      <c r="E11" s="21" t="s">
        <v>42</v>
      </c>
      <c r="F11" s="19" t="s">
        <v>37</v>
      </c>
      <c r="G11" s="19"/>
      <c r="H11" s="21"/>
      <c r="I11" s="21"/>
      <c r="J11" s="19"/>
      <c r="K11" s="19"/>
      <c r="L11" s="19" t="s">
        <v>31</v>
      </c>
      <c r="M11" s="21" t="s">
        <v>43</v>
      </c>
      <c r="N11" s="18">
        <f t="shared" ref="N11:O11" si="4">IF(B11="","",(VALUE(LEFT(B11,2))*3600+VALUE(MID(B11,4,2))*60+VALUE(MID(B11,7,2)))*$H$4+VALUE(RIGHT(B11,2)))</f>
        <v>108000</v>
      </c>
      <c r="O11" s="18">
        <f t="shared" si="4"/>
        <v>118800</v>
      </c>
    </row>
    <row r="12">
      <c r="A12" s="22" t="s">
        <v>44</v>
      </c>
      <c r="B12" s="22" t="s">
        <v>41</v>
      </c>
      <c r="C12" s="22" t="s">
        <v>45</v>
      </c>
      <c r="D12" s="23" t="str">
        <f t="shared" si="2"/>
        <v>00:01:00:00</v>
      </c>
      <c r="E12" s="24" t="s">
        <v>46</v>
      </c>
      <c r="F12" s="22" t="s">
        <v>37</v>
      </c>
      <c r="G12" s="22"/>
      <c r="H12" s="24"/>
      <c r="I12" s="24"/>
      <c r="J12" s="22"/>
      <c r="K12" s="22"/>
      <c r="L12" s="22" t="s">
        <v>31</v>
      </c>
      <c r="M12" s="25" t="s">
        <v>47</v>
      </c>
      <c r="N12" s="18">
        <f t="shared" ref="N12:O12" si="5">IF(B12="","",(VALUE(LEFT(B12,2))*3600+VALUE(MID(B12,4,2))*60+VALUE(MID(B12,7,2)))*$H$4+VALUE(RIGHT(B12,2)))</f>
        <v>118800</v>
      </c>
      <c r="O12" s="18">
        <f t="shared" si="5"/>
        <v>120600</v>
      </c>
    </row>
    <row r="13">
      <c r="A13" s="19" t="s">
        <v>48</v>
      </c>
      <c r="B13" s="19" t="s">
        <v>45</v>
      </c>
      <c r="C13" s="19" t="s">
        <v>49</v>
      </c>
      <c r="D13" s="20" t="str">
        <f t="shared" si="2"/>
        <v>00:05:00:00</v>
      </c>
      <c r="E13" s="21" t="s">
        <v>50</v>
      </c>
      <c r="F13" s="19" t="s">
        <v>37</v>
      </c>
      <c r="G13" s="19"/>
      <c r="H13" s="21"/>
      <c r="I13" s="21"/>
      <c r="J13" s="19"/>
      <c r="K13" s="19"/>
      <c r="L13" s="19" t="s">
        <v>31</v>
      </c>
      <c r="M13" s="26" t="s">
        <v>51</v>
      </c>
      <c r="N13" s="18">
        <f t="shared" ref="N13:O13" si="6">IF(B13="","",(VALUE(LEFT(B13,2))*3600+VALUE(MID(B13,4,2))*60+VALUE(MID(B13,7,2)))*$H$4+VALUE(RIGHT(B13,2)))</f>
        <v>120600</v>
      </c>
      <c r="O13" s="18">
        <f t="shared" si="6"/>
        <v>129600</v>
      </c>
    </row>
    <row r="14">
      <c r="A14" s="22" t="s">
        <v>52</v>
      </c>
      <c r="B14" s="22" t="s">
        <v>49</v>
      </c>
      <c r="C14" s="22" t="s">
        <v>53</v>
      </c>
      <c r="D14" s="23" t="str">
        <f t="shared" si="2"/>
        <v>00:02:00:00</v>
      </c>
      <c r="E14" s="24" t="s">
        <v>46</v>
      </c>
      <c r="F14" s="22" t="s">
        <v>37</v>
      </c>
      <c r="G14" s="22"/>
      <c r="H14" s="24"/>
      <c r="I14" s="24"/>
      <c r="J14" s="22"/>
      <c r="K14" s="22"/>
      <c r="L14" s="22" t="s">
        <v>31</v>
      </c>
      <c r="M14" s="24"/>
      <c r="N14" s="18">
        <f t="shared" ref="N14:O14" si="7">IF(B14="","",(VALUE(LEFT(B14,2))*3600+VALUE(MID(B14,4,2))*60+VALUE(MID(B14,7,2)))*$H$4+VALUE(RIGHT(B14,2)))</f>
        <v>129600</v>
      </c>
      <c r="O14" s="18">
        <f t="shared" si="7"/>
        <v>133200</v>
      </c>
    </row>
    <row r="15">
      <c r="A15" s="19" t="s">
        <v>54</v>
      </c>
      <c r="B15" s="19" t="s">
        <v>53</v>
      </c>
      <c r="C15" s="19" t="s">
        <v>55</v>
      </c>
      <c r="D15" s="20" t="str">
        <f t="shared" si="2"/>
        <v>00:06:00:00</v>
      </c>
      <c r="E15" s="21" t="s">
        <v>56</v>
      </c>
      <c r="F15" s="19" t="s">
        <v>37</v>
      </c>
      <c r="G15" s="19"/>
      <c r="H15" s="21"/>
      <c r="I15" s="21"/>
      <c r="J15" s="19"/>
      <c r="K15" s="19"/>
      <c r="L15" s="19" t="s">
        <v>31</v>
      </c>
      <c r="M15" s="21"/>
      <c r="N15" s="18">
        <f t="shared" ref="N15:O15" si="8">IF(B15="","",(VALUE(LEFT(B15,2))*3600+VALUE(MID(B15,4,2))*60+VALUE(MID(B15,7,2)))*$H$4+VALUE(RIGHT(B15,2)))</f>
        <v>133200</v>
      </c>
      <c r="O15" s="18">
        <f t="shared" si="8"/>
        <v>144000</v>
      </c>
    </row>
    <row r="16">
      <c r="A16" s="22" t="s">
        <v>57</v>
      </c>
      <c r="B16" s="22" t="s">
        <v>55</v>
      </c>
      <c r="C16" s="22" t="s">
        <v>58</v>
      </c>
      <c r="D16" s="23" t="str">
        <f t="shared" si="2"/>
        <v>00:01:00:00</v>
      </c>
      <c r="E16" s="24" t="s">
        <v>46</v>
      </c>
      <c r="F16" s="22" t="s">
        <v>37</v>
      </c>
      <c r="G16" s="22"/>
      <c r="H16" s="24"/>
      <c r="I16" s="24"/>
      <c r="J16" s="22"/>
      <c r="K16" s="22"/>
      <c r="L16" s="27" t="s">
        <v>59</v>
      </c>
      <c r="M16" s="24"/>
      <c r="N16" s="18">
        <f t="shared" ref="N16:O16" si="9">IF(B16="","",(VALUE(LEFT(B16,2))*3600+VALUE(MID(B16,4,2))*60+VALUE(MID(B16,7,2)))*$H$4+VALUE(RIGHT(B16,2)))</f>
        <v>144000</v>
      </c>
      <c r="O16" s="18">
        <f t="shared" si="9"/>
        <v>145800</v>
      </c>
    </row>
    <row r="17">
      <c r="A17" s="19" t="s">
        <v>60</v>
      </c>
      <c r="B17" s="19" t="s">
        <v>58</v>
      </c>
      <c r="C17" s="19" t="s">
        <v>61</v>
      </c>
      <c r="D17" s="20" t="str">
        <f t="shared" si="2"/>
        <v>00:06:00:00</v>
      </c>
      <c r="E17" s="21" t="s">
        <v>62</v>
      </c>
      <c r="F17" s="19" t="s">
        <v>37</v>
      </c>
      <c r="G17" s="19"/>
      <c r="H17" s="21"/>
      <c r="I17" s="21"/>
      <c r="J17" s="19"/>
      <c r="K17" s="19"/>
      <c r="L17" s="19" t="s">
        <v>31</v>
      </c>
      <c r="M17" s="21"/>
      <c r="N17" s="18">
        <f t="shared" ref="N17:O17" si="10">IF(B17="","",(VALUE(LEFT(B17,2))*3600+VALUE(MID(B17,4,2))*60+VALUE(MID(B17,7,2)))*$H$4+VALUE(RIGHT(B17,2)))</f>
        <v>145800</v>
      </c>
      <c r="O17" s="18">
        <f t="shared" si="10"/>
        <v>156600</v>
      </c>
    </row>
    <row r="18">
      <c r="A18" s="22" t="s">
        <v>63</v>
      </c>
      <c r="B18" s="22" t="s">
        <v>61</v>
      </c>
      <c r="C18" s="22" t="s">
        <v>64</v>
      </c>
      <c r="D18" s="23" t="str">
        <f t="shared" si="2"/>
        <v>00:01:00:00</v>
      </c>
      <c r="E18" s="24" t="s">
        <v>46</v>
      </c>
      <c r="F18" s="22" t="s">
        <v>37</v>
      </c>
      <c r="G18" s="22"/>
      <c r="H18" s="24"/>
      <c r="I18" s="24"/>
      <c r="J18" s="22"/>
      <c r="K18" s="22"/>
      <c r="L18" s="22" t="s">
        <v>31</v>
      </c>
      <c r="M18" s="24" t="s">
        <v>65</v>
      </c>
      <c r="N18" s="18">
        <f t="shared" ref="N18:O18" si="11">IF(B18="","",(VALUE(LEFT(B18,2))*3600+VALUE(MID(B18,4,2))*60+VALUE(MID(B18,7,2)))*$H$4+VALUE(RIGHT(B18,2)))</f>
        <v>156600</v>
      </c>
      <c r="O18" s="18">
        <f t="shared" si="11"/>
        <v>158400</v>
      </c>
    </row>
    <row r="19">
      <c r="A19" s="19" t="s">
        <v>66</v>
      </c>
      <c r="B19" s="19" t="s">
        <v>64</v>
      </c>
      <c r="C19" s="19" t="s">
        <v>67</v>
      </c>
      <c r="D19" s="20" t="str">
        <f t="shared" si="2"/>
        <v>00:05:00:00</v>
      </c>
      <c r="E19" s="21" t="s">
        <v>68</v>
      </c>
      <c r="F19" s="19" t="s">
        <v>37</v>
      </c>
      <c r="G19" s="19"/>
      <c r="H19" s="21"/>
      <c r="I19" s="21"/>
      <c r="J19" s="19"/>
      <c r="K19" s="19"/>
      <c r="L19" s="19" t="s">
        <v>31</v>
      </c>
      <c r="M19" s="21" t="s">
        <v>69</v>
      </c>
      <c r="N19" s="18">
        <f t="shared" ref="N19:O19" si="12">IF(B19="","",(VALUE(LEFT(B19,2))*3600+VALUE(MID(B19,4,2))*60+VALUE(MID(B19,7,2)))*$H$4+VALUE(RIGHT(B19,2)))</f>
        <v>158400</v>
      </c>
      <c r="O19" s="18">
        <f t="shared" si="12"/>
        <v>167400</v>
      </c>
    </row>
    <row r="20">
      <c r="A20" s="22" t="s">
        <v>70</v>
      </c>
      <c r="B20" s="22" t="s">
        <v>67</v>
      </c>
      <c r="C20" s="22" t="s">
        <v>71</v>
      </c>
      <c r="D20" s="23" t="str">
        <f t="shared" si="2"/>
        <v>00:02:00:00</v>
      </c>
      <c r="E20" s="24" t="s">
        <v>46</v>
      </c>
      <c r="F20" s="22" t="s">
        <v>37</v>
      </c>
      <c r="G20" s="22"/>
      <c r="H20" s="24"/>
      <c r="I20" s="24"/>
      <c r="J20" s="22"/>
      <c r="K20" s="22"/>
      <c r="L20" s="22" t="s">
        <v>31</v>
      </c>
      <c r="M20" s="24" t="s">
        <v>72</v>
      </c>
      <c r="N20" s="18">
        <f t="shared" ref="N20:O20" si="13">IF(B20="","",(VALUE(LEFT(B20,2))*3600+VALUE(MID(B20,4,2))*60+VALUE(MID(B20,7,2)))*$H$4+VALUE(RIGHT(B20,2)))</f>
        <v>167400</v>
      </c>
      <c r="O20" s="18">
        <f t="shared" si="13"/>
        <v>171000</v>
      </c>
    </row>
    <row r="21" ht="15.75" customHeight="1">
      <c r="A21" s="19" t="s">
        <v>73</v>
      </c>
      <c r="B21" s="19" t="s">
        <v>71</v>
      </c>
      <c r="C21" s="19" t="s">
        <v>74</v>
      </c>
      <c r="D21" s="20" t="str">
        <f t="shared" si="2"/>
        <v>00:06:30:00</v>
      </c>
      <c r="E21" s="21" t="s">
        <v>75</v>
      </c>
      <c r="F21" s="19" t="s">
        <v>37</v>
      </c>
      <c r="G21" s="19"/>
      <c r="H21" s="21"/>
      <c r="I21" s="21"/>
      <c r="J21" s="19"/>
      <c r="K21" s="19"/>
      <c r="L21" s="19" t="s">
        <v>31</v>
      </c>
      <c r="M21" s="21"/>
      <c r="N21" s="18">
        <f t="shared" ref="N21:O21" si="14">IF(B21="","",(VALUE(LEFT(B21,2))*3600+VALUE(MID(B21,4,2))*60+VALUE(MID(B21,7,2)))*$H$4+VALUE(RIGHT(B21,2)))</f>
        <v>171000</v>
      </c>
      <c r="O21" s="18">
        <f t="shared" si="14"/>
        <v>182700</v>
      </c>
    </row>
    <row r="22" ht="15.75" customHeight="1">
      <c r="A22" s="13" t="s">
        <v>76</v>
      </c>
      <c r="B22" s="13" t="s">
        <v>74</v>
      </c>
      <c r="C22" s="13" t="s">
        <v>77</v>
      </c>
      <c r="D22" s="14" t="str">
        <f t="shared" si="2"/>
        <v>00:00:30:00</v>
      </c>
      <c r="E22" s="15" t="s">
        <v>78</v>
      </c>
      <c r="F22" s="13" t="s">
        <v>37</v>
      </c>
      <c r="G22" s="13"/>
      <c r="H22" s="15"/>
      <c r="I22" s="15"/>
      <c r="J22" s="13"/>
      <c r="K22" s="13"/>
      <c r="L22" s="13" t="s">
        <v>31</v>
      </c>
      <c r="M22" s="15"/>
      <c r="N22" s="18">
        <f t="shared" ref="N22:O22" si="15">IF(B22="","",(VALUE(LEFT(B22,2))*3600+VALUE(MID(B22,4,2))*60+VALUE(MID(B22,7,2)))*$H$4+VALUE(RIGHT(B22,2)))</f>
        <v>182700</v>
      </c>
      <c r="O22" s="18">
        <f t="shared" si="15"/>
        <v>183600</v>
      </c>
    </row>
    <row r="23" ht="19.5" customHeight="1">
      <c r="A23" s="12" t="s">
        <v>79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 ht="19.5" customHeight="1">
      <c r="A24" s="12" t="s">
        <v>80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</row>
    <row r="25" ht="15.75" customHeight="1">
      <c r="A25" s="13" t="s">
        <v>81</v>
      </c>
      <c r="B25" s="13" t="s">
        <v>35</v>
      </c>
      <c r="C25" s="13" t="s">
        <v>82</v>
      </c>
      <c r="D25" s="14" t="str">
        <f t="shared" ref="D25:D37" si="17">IF(OR(N25="",O25=""),"",TEXT(INT((MOD(O25-N25,86400*$H$4))/(3600*$H$4)),"00")&amp;":"&amp;TEXT(INT(MOD(MOD(O25-N25,86400*$H$4),3600*$H$4)/(60*$H$4)),"00")&amp;":"&amp;TEXT(INT(MOD(MOD(O25-N25,86400*$H$4),60*$H$4)/$H$4),"00")&amp;":"&amp;TEXT(MOD(MOD(O25-N25,86400*$H$4),$H$4),"00"))</f>
        <v>00:01:00:00</v>
      </c>
      <c r="E25" s="15" t="s">
        <v>83</v>
      </c>
      <c r="F25" s="13" t="s">
        <v>37</v>
      </c>
      <c r="G25" s="13"/>
      <c r="H25" s="15"/>
      <c r="I25" s="15"/>
      <c r="J25" s="13"/>
      <c r="K25" s="13"/>
      <c r="L25" s="13" t="s">
        <v>31</v>
      </c>
      <c r="M25" s="15" t="s">
        <v>84</v>
      </c>
      <c r="N25" s="18">
        <f t="shared" ref="N25:O25" si="16">IF(B25="","",(VALUE(LEFT(B25,2))*3600+VALUE(MID(B25,4,2))*60+VALUE(MID(B25,7,2)))*$H$4+VALUE(RIGHT(B25,2)))</f>
        <v>108000</v>
      </c>
      <c r="O25" s="18">
        <f t="shared" si="16"/>
        <v>109800</v>
      </c>
    </row>
    <row r="26" ht="15.75" customHeight="1">
      <c r="A26" s="19" t="s">
        <v>85</v>
      </c>
      <c r="B26" s="19" t="s">
        <v>82</v>
      </c>
      <c r="C26" s="19" t="s">
        <v>86</v>
      </c>
      <c r="D26" s="20" t="str">
        <f t="shared" si="17"/>
        <v>00:06:30:00</v>
      </c>
      <c r="E26" s="21" t="s">
        <v>87</v>
      </c>
      <c r="F26" s="19" t="s">
        <v>37</v>
      </c>
      <c r="G26" s="19"/>
      <c r="H26" s="21"/>
      <c r="I26" s="21"/>
      <c r="J26" s="19"/>
      <c r="K26" s="19"/>
      <c r="L26" s="19" t="s">
        <v>31</v>
      </c>
      <c r="M26" s="21"/>
      <c r="N26" s="18">
        <f t="shared" ref="N26:O26" si="18">IF(B26="","",(VALUE(LEFT(B26,2))*3600+VALUE(MID(B26,4,2))*60+VALUE(MID(B26,7,2)))*$H$4+VALUE(RIGHT(B26,2)))</f>
        <v>109800</v>
      </c>
      <c r="O26" s="18">
        <f t="shared" si="18"/>
        <v>121500</v>
      </c>
    </row>
    <row r="27" ht="15.75" customHeight="1">
      <c r="A27" s="22" t="s">
        <v>88</v>
      </c>
      <c r="B27" s="22" t="s">
        <v>86</v>
      </c>
      <c r="C27" s="22" t="s">
        <v>89</v>
      </c>
      <c r="D27" s="23" t="str">
        <f t="shared" si="17"/>
        <v>00:01:00:00</v>
      </c>
      <c r="E27" s="24" t="s">
        <v>46</v>
      </c>
      <c r="F27" s="22" t="s">
        <v>37</v>
      </c>
      <c r="G27" s="22"/>
      <c r="H27" s="24"/>
      <c r="I27" s="24"/>
      <c r="J27" s="22"/>
      <c r="K27" s="22"/>
      <c r="L27" s="22" t="s">
        <v>31</v>
      </c>
      <c r="M27" s="24"/>
      <c r="N27" s="18">
        <f t="shared" ref="N27:O27" si="19">IF(B27="","",(VALUE(LEFT(B27,2))*3600+VALUE(MID(B27,4,2))*60+VALUE(MID(B27,7,2)))*$H$4+VALUE(RIGHT(B27,2)))</f>
        <v>121500</v>
      </c>
      <c r="O27" s="18">
        <f t="shared" si="19"/>
        <v>123300</v>
      </c>
    </row>
    <row r="28" ht="15.75" customHeight="1">
      <c r="A28" s="19" t="s">
        <v>90</v>
      </c>
      <c r="B28" s="19" t="s">
        <v>89</v>
      </c>
      <c r="C28" s="19" t="s">
        <v>91</v>
      </c>
      <c r="D28" s="20" t="str">
        <f t="shared" si="17"/>
        <v>00:07:00:00</v>
      </c>
      <c r="E28" s="21" t="s">
        <v>92</v>
      </c>
      <c r="F28" s="19" t="s">
        <v>37</v>
      </c>
      <c r="G28" s="19"/>
      <c r="H28" s="21"/>
      <c r="I28" s="21"/>
      <c r="J28" s="19"/>
      <c r="K28" s="19"/>
      <c r="L28" s="19" t="s">
        <v>31</v>
      </c>
      <c r="M28" s="21"/>
      <c r="N28" s="18">
        <f t="shared" ref="N28:O28" si="20">IF(B28="","",(VALUE(LEFT(B28,2))*3600+VALUE(MID(B28,4,2))*60+VALUE(MID(B28,7,2)))*$H$4+VALUE(RIGHT(B28,2)))</f>
        <v>123300</v>
      </c>
      <c r="O28" s="18">
        <f t="shared" si="20"/>
        <v>135900</v>
      </c>
    </row>
    <row r="29" ht="15.75" customHeight="1">
      <c r="A29" s="22" t="s">
        <v>93</v>
      </c>
      <c r="B29" s="22" t="s">
        <v>91</v>
      </c>
      <c r="C29" s="22" t="s">
        <v>94</v>
      </c>
      <c r="D29" s="23" t="str">
        <f t="shared" si="17"/>
        <v>00:01:30:00</v>
      </c>
      <c r="E29" s="24" t="s">
        <v>46</v>
      </c>
      <c r="F29" s="22" t="s">
        <v>37</v>
      </c>
      <c r="G29" s="22"/>
      <c r="H29" s="24"/>
      <c r="I29" s="24"/>
      <c r="J29" s="22"/>
      <c r="K29" s="22"/>
      <c r="L29" s="22" t="s">
        <v>31</v>
      </c>
      <c r="M29" s="24" t="s">
        <v>95</v>
      </c>
      <c r="N29" s="18">
        <f t="shared" ref="N29:O29" si="21">IF(B29="","",(VALUE(LEFT(B29,2))*3600+VALUE(MID(B29,4,2))*60+VALUE(MID(B29,7,2)))*$H$4+VALUE(RIGHT(B29,2)))</f>
        <v>135900</v>
      </c>
      <c r="O29" s="18">
        <f t="shared" si="21"/>
        <v>138600</v>
      </c>
    </row>
    <row r="30" ht="15.75" customHeight="1">
      <c r="A30" s="19" t="s">
        <v>96</v>
      </c>
      <c r="B30" s="19" t="s">
        <v>94</v>
      </c>
      <c r="C30" s="19" t="s">
        <v>97</v>
      </c>
      <c r="D30" s="20" t="str">
        <f t="shared" si="17"/>
        <v>00:06:30:00</v>
      </c>
      <c r="E30" s="21" t="s">
        <v>98</v>
      </c>
      <c r="F30" s="19" t="s">
        <v>37</v>
      </c>
      <c r="G30" s="19"/>
      <c r="H30" s="21"/>
      <c r="I30" s="21"/>
      <c r="J30" s="19"/>
      <c r="K30" s="19"/>
      <c r="L30" s="19" t="s">
        <v>31</v>
      </c>
      <c r="M30" s="21"/>
      <c r="N30" s="18">
        <f t="shared" ref="N30:O30" si="22">IF(B30="","",(VALUE(LEFT(B30,2))*3600+VALUE(MID(B30,4,2))*60+VALUE(MID(B30,7,2)))*$H$4+VALUE(RIGHT(B30,2)))</f>
        <v>138600</v>
      </c>
      <c r="O30" s="18">
        <f t="shared" si="22"/>
        <v>150300</v>
      </c>
    </row>
    <row r="31" ht="15.75" customHeight="1">
      <c r="A31" s="22" t="s">
        <v>99</v>
      </c>
      <c r="B31" s="22" t="s">
        <v>97</v>
      </c>
      <c r="C31" s="22" t="s">
        <v>100</v>
      </c>
      <c r="D31" s="23" t="str">
        <f t="shared" si="17"/>
        <v>00:02:30:00</v>
      </c>
      <c r="E31" s="24" t="s">
        <v>101</v>
      </c>
      <c r="F31" s="22" t="s">
        <v>37</v>
      </c>
      <c r="G31" s="22"/>
      <c r="H31" s="24"/>
      <c r="I31" s="24"/>
      <c r="J31" s="22"/>
      <c r="K31" s="22"/>
      <c r="L31" s="22" t="s">
        <v>31</v>
      </c>
      <c r="M31" s="24" t="s">
        <v>102</v>
      </c>
      <c r="N31" s="18">
        <f t="shared" ref="N31:O31" si="23">IF(B31="","",(VALUE(LEFT(B31,2))*3600+VALUE(MID(B31,4,2))*60+VALUE(MID(B31,7,2)))*$H$4+VALUE(RIGHT(B31,2)))</f>
        <v>150300</v>
      </c>
      <c r="O31" s="18">
        <f t="shared" si="23"/>
        <v>154800</v>
      </c>
    </row>
    <row r="32" ht="15.75" customHeight="1">
      <c r="A32" s="13" t="s">
        <v>103</v>
      </c>
      <c r="B32" s="13" t="s">
        <v>100</v>
      </c>
      <c r="C32" s="13" t="s">
        <v>61</v>
      </c>
      <c r="D32" s="14" t="str">
        <f t="shared" si="17"/>
        <v>00:01:00:00</v>
      </c>
      <c r="E32" s="15" t="s">
        <v>104</v>
      </c>
      <c r="F32" s="13" t="s">
        <v>37</v>
      </c>
      <c r="G32" s="13"/>
      <c r="H32" s="15"/>
      <c r="I32" s="15"/>
      <c r="J32" s="13"/>
      <c r="K32" s="13"/>
      <c r="L32" s="13" t="s">
        <v>31</v>
      </c>
      <c r="M32" s="15"/>
      <c r="N32" s="18">
        <f t="shared" ref="N32:O32" si="24">IF(B32="","",(VALUE(LEFT(B32,2))*3600+VALUE(MID(B32,4,2))*60+VALUE(MID(B32,7,2)))*$H$4+VALUE(RIGHT(B32,2)))</f>
        <v>154800</v>
      </c>
      <c r="O32" s="18">
        <f t="shared" si="24"/>
        <v>156600</v>
      </c>
    </row>
    <row r="33" ht="15.75" customHeight="1">
      <c r="A33" s="19" t="s">
        <v>105</v>
      </c>
      <c r="B33" s="19" t="s">
        <v>61</v>
      </c>
      <c r="C33" s="19" t="s">
        <v>67</v>
      </c>
      <c r="D33" s="20" t="str">
        <f t="shared" si="17"/>
        <v>00:06:00:00</v>
      </c>
      <c r="E33" s="21" t="s">
        <v>106</v>
      </c>
      <c r="F33" s="19" t="s">
        <v>37</v>
      </c>
      <c r="G33" s="19"/>
      <c r="H33" s="21"/>
      <c r="I33" s="21"/>
      <c r="J33" s="19"/>
      <c r="K33" s="19"/>
      <c r="L33" s="19" t="s">
        <v>31</v>
      </c>
      <c r="M33" s="21"/>
      <c r="N33" s="18">
        <f t="shared" ref="N33:O33" si="25">IF(B33="","",(VALUE(LEFT(B33,2))*3600+VALUE(MID(B33,4,2))*60+VALUE(MID(B33,7,2)))*$H$4+VALUE(RIGHT(B33,2)))</f>
        <v>156600</v>
      </c>
      <c r="O33" s="18">
        <f t="shared" si="25"/>
        <v>167400</v>
      </c>
    </row>
    <row r="34" ht="15.75" customHeight="1">
      <c r="A34" s="22" t="s">
        <v>107</v>
      </c>
      <c r="B34" s="22" t="s">
        <v>67</v>
      </c>
      <c r="C34" s="22" t="s">
        <v>108</v>
      </c>
      <c r="D34" s="23" t="str">
        <f t="shared" si="17"/>
        <v>00:01:00:00</v>
      </c>
      <c r="E34" s="24" t="s">
        <v>46</v>
      </c>
      <c r="F34" s="22" t="s">
        <v>37</v>
      </c>
      <c r="G34" s="22"/>
      <c r="H34" s="24"/>
      <c r="I34" s="24"/>
      <c r="J34" s="22"/>
      <c r="K34" s="22"/>
      <c r="L34" s="22" t="s">
        <v>31</v>
      </c>
      <c r="M34" s="24"/>
      <c r="N34" s="18">
        <f t="shared" ref="N34:O34" si="26">IF(B34="","",(VALUE(LEFT(B34,2))*3600+VALUE(MID(B34,4,2))*60+VALUE(MID(B34,7,2)))*$H$4+VALUE(RIGHT(B34,2)))</f>
        <v>167400</v>
      </c>
      <c r="O34" s="18">
        <f t="shared" si="26"/>
        <v>169200</v>
      </c>
    </row>
    <row r="35" ht="15.75" customHeight="1">
      <c r="A35" s="13" t="s">
        <v>109</v>
      </c>
      <c r="B35" s="13" t="s">
        <v>108</v>
      </c>
      <c r="C35" s="13" t="s">
        <v>110</v>
      </c>
      <c r="D35" s="14" t="str">
        <f t="shared" si="17"/>
        <v>00:03:00:00</v>
      </c>
      <c r="E35" s="15" t="s">
        <v>111</v>
      </c>
      <c r="F35" s="13" t="s">
        <v>37</v>
      </c>
      <c r="G35" s="13"/>
      <c r="H35" s="15"/>
      <c r="I35" s="15"/>
      <c r="J35" s="13"/>
      <c r="K35" s="13"/>
      <c r="L35" s="13" t="s">
        <v>31</v>
      </c>
      <c r="M35" s="15"/>
      <c r="N35" s="18">
        <f t="shared" ref="N35:O35" si="27">IF(B35="","",(VALUE(LEFT(B35,2))*3600+VALUE(MID(B35,4,2))*60+VALUE(MID(B35,7,2)))*$H$4+VALUE(RIGHT(B35,2)))</f>
        <v>169200</v>
      </c>
      <c r="O35" s="18">
        <f t="shared" si="27"/>
        <v>174600</v>
      </c>
    </row>
    <row r="36" ht="15.75" customHeight="1">
      <c r="A36" s="19" t="s">
        <v>112</v>
      </c>
      <c r="B36" s="19" t="s">
        <v>110</v>
      </c>
      <c r="C36" s="19" t="s">
        <v>113</v>
      </c>
      <c r="D36" s="20" t="str">
        <f t="shared" si="17"/>
        <v>00:07:30:00</v>
      </c>
      <c r="E36" s="21" t="s">
        <v>114</v>
      </c>
      <c r="F36" s="19" t="s">
        <v>37</v>
      </c>
      <c r="G36" s="19"/>
      <c r="H36" s="21"/>
      <c r="I36" s="21"/>
      <c r="J36" s="19"/>
      <c r="K36" s="19"/>
      <c r="L36" s="19" t="s">
        <v>31</v>
      </c>
      <c r="M36" s="21"/>
      <c r="N36" s="18">
        <f t="shared" ref="N36:O36" si="28">IF(B36="","",(VALUE(LEFT(B36,2))*3600+VALUE(MID(B36,4,2))*60+VALUE(MID(B36,7,2)))*$H$4+VALUE(RIGHT(B36,2)))</f>
        <v>174600</v>
      </c>
      <c r="O36" s="18">
        <f t="shared" si="28"/>
        <v>188100</v>
      </c>
    </row>
    <row r="37" ht="15.75" customHeight="1">
      <c r="A37" s="13" t="s">
        <v>115</v>
      </c>
      <c r="B37" s="13" t="s">
        <v>113</v>
      </c>
      <c r="C37" s="13" t="s">
        <v>116</v>
      </c>
      <c r="D37" s="14" t="str">
        <f t="shared" si="17"/>
        <v>00:03:00:00</v>
      </c>
      <c r="E37" s="15" t="s">
        <v>117</v>
      </c>
      <c r="F37" s="13" t="s">
        <v>37</v>
      </c>
      <c r="G37" s="13"/>
      <c r="H37" s="15"/>
      <c r="I37" s="15"/>
      <c r="J37" s="13"/>
      <c r="K37" s="13"/>
      <c r="L37" s="13" t="s">
        <v>31</v>
      </c>
      <c r="M37" s="15"/>
      <c r="N37" s="18">
        <f t="shared" ref="N37:O37" si="29">IF(B37="","",(VALUE(LEFT(B37,2))*3600+VALUE(MID(B37,4,2))*60+VALUE(MID(B37,7,2)))*$H$4+VALUE(RIGHT(B37,2)))</f>
        <v>188100</v>
      </c>
      <c r="O37" s="18">
        <f t="shared" si="29"/>
        <v>193500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8:M8"/>
    <mergeCell ref="A23:M23"/>
    <mergeCell ref="A24:M24"/>
    <mergeCell ref="A1:M1"/>
    <mergeCell ref="B2:E2"/>
    <mergeCell ref="H2:I2"/>
    <mergeCell ref="B3:E3"/>
    <mergeCell ref="H3:I3"/>
    <mergeCell ref="B4:E4"/>
    <mergeCell ref="B5:E5"/>
  </mergeCells>
  <conditionalFormatting sqref="L8:L37">
    <cfRule type="cellIs" dxfId="0" priority="1" operator="equal">
      <formula>"Live"</formula>
    </cfRule>
  </conditionalFormatting>
  <conditionalFormatting sqref="L8:L37">
    <cfRule type="cellIs" dxfId="1" priority="2" operator="equal">
      <formula>"Ready"</formula>
    </cfRule>
  </conditionalFormatting>
  <conditionalFormatting sqref="L8:L37">
    <cfRule type="cellIs" dxfId="2" priority="3" operator="equal">
      <formula>"Standby"</formula>
    </cfRule>
  </conditionalFormatting>
  <conditionalFormatting sqref="L8:L37">
    <cfRule type="cellIs" dxfId="3" priority="4" operator="equal">
      <formula>"Hold"</formula>
    </cfRule>
  </conditionalFormatting>
  <conditionalFormatting sqref="L8:L37">
    <cfRule type="cellIs" dxfId="4" priority="5" operator="equal">
      <formula>"Done"</formula>
    </cfRule>
  </conditionalFormatting>
  <conditionalFormatting sqref="L8:L37">
    <cfRule type="cellIs" dxfId="5" priority="6" operator="equal">
      <formula>"Cut"</formula>
    </cfRule>
  </conditionalFormatting>
  <dataValidations>
    <dataValidation type="list" allowBlank="1" sqref="L9:L22 L25:L37">
      <formula1>"Standby,Ready,Live,Done,Hold,Cut"</formula1>
    </dataValidation>
    <dataValidation type="list" allowBlank="1" sqref="F9:F22 F25:F37">
      <formula1>"TC Chase,GO,Follow,Auto-Follow,MIDI,OSC,RS-232,GPI,sACN,Manual"</formula1>
    </dataValidation>
    <dataValidation type="list" allowBlank="1" sqref="H9:H22 H25:H37">
      <formula1>Devices!$A$2:$A$8</formula1>
    </dataValidation>
    <dataValidation type="list" allowBlank="1" sqref="E9:E22 E25:E37">
      <formula1>Scenes!$A$2:$A$21</formula1>
    </dataValidation>
    <dataValidation type="list" allowBlank="1" sqref="G9:G22 G25:G37">
      <formula1>"Sound,LX,Video,Band"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3" width="16.0"/>
    <col customWidth="1" min="4" max="4" width="18.0"/>
    <col customWidth="1" min="5" max="5" width="8.0"/>
    <col customWidth="1" min="6" max="6" width="30.0"/>
    <col customWidth="1" min="7" max="26" width="8.71"/>
  </cols>
  <sheetData>
    <row r="1">
      <c r="A1" s="10" t="s">
        <v>19</v>
      </c>
      <c r="B1" s="10" t="s">
        <v>118</v>
      </c>
      <c r="C1" s="10" t="s">
        <v>119</v>
      </c>
      <c r="D1" s="10" t="s">
        <v>120</v>
      </c>
      <c r="E1" s="10" t="s">
        <v>121</v>
      </c>
      <c r="F1" s="10" t="s">
        <v>24</v>
      </c>
    </row>
    <row r="2">
      <c r="A2" s="28" t="s">
        <v>9</v>
      </c>
      <c r="B2" s="28" t="s">
        <v>122</v>
      </c>
      <c r="C2" s="28" t="s">
        <v>123</v>
      </c>
      <c r="D2" s="28" t="s">
        <v>124</v>
      </c>
      <c r="E2" s="28" t="s">
        <v>125</v>
      </c>
      <c r="F2" s="28" t="s">
        <v>126</v>
      </c>
    </row>
    <row r="3">
      <c r="A3" s="28" t="s">
        <v>127</v>
      </c>
      <c r="B3" s="28" t="s">
        <v>128</v>
      </c>
      <c r="C3" s="28" t="s">
        <v>129</v>
      </c>
      <c r="D3" s="28" t="s">
        <v>130</v>
      </c>
      <c r="E3" s="28" t="s">
        <v>131</v>
      </c>
      <c r="F3" s="28" t="s">
        <v>132</v>
      </c>
    </row>
    <row r="4">
      <c r="A4" s="28" t="s">
        <v>133</v>
      </c>
      <c r="B4" s="28" t="s">
        <v>134</v>
      </c>
      <c r="C4" s="28" t="s">
        <v>135</v>
      </c>
      <c r="D4" s="28" t="s">
        <v>136</v>
      </c>
      <c r="E4" s="28" t="s">
        <v>137</v>
      </c>
      <c r="F4" s="28" t="s">
        <v>138</v>
      </c>
    </row>
    <row r="5">
      <c r="A5" s="28" t="s">
        <v>139</v>
      </c>
      <c r="B5" s="28" t="s">
        <v>134</v>
      </c>
      <c r="C5" s="28" t="s">
        <v>135</v>
      </c>
      <c r="D5" s="28" t="s">
        <v>140</v>
      </c>
      <c r="E5" s="28" t="s">
        <v>141</v>
      </c>
      <c r="F5" s="28"/>
    </row>
    <row r="6">
      <c r="A6" s="28" t="s">
        <v>142</v>
      </c>
      <c r="B6" s="28" t="s">
        <v>143</v>
      </c>
      <c r="C6" s="28" t="s">
        <v>144</v>
      </c>
      <c r="D6" s="28" t="s">
        <v>145</v>
      </c>
      <c r="E6" s="28" t="s">
        <v>146</v>
      </c>
      <c r="F6" s="28" t="s">
        <v>147</v>
      </c>
    </row>
    <row r="7">
      <c r="A7" s="28" t="s">
        <v>148</v>
      </c>
      <c r="B7" s="28" t="s">
        <v>149</v>
      </c>
      <c r="C7" s="28" t="s">
        <v>150</v>
      </c>
      <c r="D7" s="28" t="s">
        <v>151</v>
      </c>
      <c r="E7" s="28" t="s">
        <v>146</v>
      </c>
      <c r="F7" s="28" t="s">
        <v>152</v>
      </c>
    </row>
    <row r="8">
      <c r="A8" s="28" t="s">
        <v>153</v>
      </c>
      <c r="B8" s="28" t="s">
        <v>154</v>
      </c>
      <c r="C8" s="28" t="s">
        <v>155</v>
      </c>
      <c r="D8" s="28" t="s">
        <v>156</v>
      </c>
      <c r="E8" s="28" t="s">
        <v>146</v>
      </c>
      <c r="F8" s="28" t="s">
        <v>157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8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0"/>
    <col customWidth="1" min="2" max="26" width="8.71"/>
  </cols>
  <sheetData>
    <row r="1">
      <c r="A1" s="10" t="s">
        <v>158</v>
      </c>
    </row>
    <row r="2">
      <c r="A2" s="28" t="s">
        <v>29</v>
      </c>
    </row>
    <row r="3">
      <c r="A3" s="28" t="s">
        <v>36</v>
      </c>
    </row>
    <row r="4">
      <c r="A4" s="28" t="s">
        <v>42</v>
      </c>
    </row>
    <row r="5">
      <c r="A5" s="28" t="s">
        <v>46</v>
      </c>
    </row>
    <row r="6">
      <c r="A6" s="28" t="s">
        <v>50</v>
      </c>
    </row>
    <row r="7">
      <c r="A7" s="28" t="s">
        <v>56</v>
      </c>
    </row>
    <row r="8">
      <c r="A8" s="28" t="s">
        <v>62</v>
      </c>
    </row>
    <row r="9">
      <c r="A9" s="28" t="s">
        <v>68</v>
      </c>
    </row>
    <row r="10">
      <c r="A10" s="28" t="s">
        <v>75</v>
      </c>
    </row>
    <row r="11">
      <c r="A11" s="28" t="s">
        <v>78</v>
      </c>
    </row>
    <row r="12">
      <c r="A12" s="28" t="s">
        <v>83</v>
      </c>
    </row>
    <row r="13">
      <c r="A13" s="28" t="s">
        <v>87</v>
      </c>
    </row>
    <row r="14">
      <c r="A14" s="28" t="s">
        <v>92</v>
      </c>
    </row>
    <row r="15">
      <c r="A15" s="28" t="s">
        <v>98</v>
      </c>
    </row>
    <row r="16">
      <c r="A16" s="28" t="s">
        <v>101</v>
      </c>
    </row>
    <row r="17">
      <c r="A17" s="28" t="s">
        <v>104</v>
      </c>
    </row>
    <row r="18">
      <c r="A18" s="28" t="s">
        <v>106</v>
      </c>
    </row>
    <row r="19">
      <c r="A19" s="28" t="s">
        <v>111</v>
      </c>
    </row>
    <row r="20">
      <c r="A20" s="28" t="s">
        <v>114</v>
      </c>
    </row>
    <row r="21" ht="15.75" customHeight="1">
      <c r="A21" s="28" t="s">
        <v>117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21"/>
  <printOptions/>
  <pageMargins bottom="1.0" footer="0.0" header="0.0" left="0.75" right="0.75" top="1.0"/>
  <pageSetup paperSize="9" orientation="portrait"/>
  <drawing r:id="rId1"/>
</worksheet>
</file>