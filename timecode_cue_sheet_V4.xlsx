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ipatmbp4/Documents/Git/Show_Timecode/"/>
    </mc:Choice>
  </mc:AlternateContent>
  <xr:revisionPtr revIDLastSave="0" documentId="13_ncr:1_{2C26304B-869E-FD4D-8551-92BD07D19CFC}" xr6:coauthVersionLast="47" xr6:coauthVersionMax="47" xr10:uidLastSave="{00000000-0000-0000-0000-000000000000}"/>
  <bookViews>
    <workbookView xWindow="0" yWindow="780" windowWidth="41120" windowHeight="25800" activeTab="1" xr2:uid="{00000000-000D-0000-FFFF-FFFF00000000}"/>
  </bookViews>
  <sheets>
    <sheet name="Claude Log" sheetId="4" r:id="rId1"/>
    <sheet name="Cues" sheetId="1" r:id="rId2"/>
    <sheet name="Devices" sheetId="2" r:id="rId3"/>
    <sheet name="Scenes" sheetId="3" r:id="rId4"/>
  </sheets>
  <definedNames>
    <definedName name="_xlnm._FilterDatabase" localSheetId="2" hidden="1">Devices!$A$1:$F$8</definedName>
    <definedName name="_xlnm._FilterDatabase" localSheetId="3" hidden="1">Scenes!$A$1:$A$21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7" i="1" l="1"/>
  <c r="O37" i="1"/>
  <c r="D37" i="1" s="1"/>
  <c r="P36" i="1"/>
  <c r="O36" i="1"/>
  <c r="P35" i="1"/>
  <c r="O35" i="1"/>
  <c r="D35" i="1" s="1"/>
  <c r="P34" i="1"/>
  <c r="O34" i="1"/>
  <c r="D34" i="1" s="1"/>
  <c r="P33" i="1"/>
  <c r="O33" i="1"/>
  <c r="D33" i="1" s="1"/>
  <c r="P32" i="1"/>
  <c r="O32" i="1"/>
  <c r="P31" i="1"/>
  <c r="O31" i="1"/>
  <c r="D31" i="1"/>
  <c r="P30" i="1"/>
  <c r="O30" i="1"/>
  <c r="P29" i="1"/>
  <c r="O29" i="1"/>
  <c r="P28" i="1"/>
  <c r="O28" i="1"/>
  <c r="P27" i="1"/>
  <c r="O27" i="1"/>
  <c r="D27" i="1" s="1"/>
  <c r="P26" i="1"/>
  <c r="O26" i="1"/>
  <c r="D26" i="1" s="1"/>
  <c r="P25" i="1"/>
  <c r="O25" i="1"/>
  <c r="D25" i="1" s="1"/>
  <c r="P22" i="1"/>
  <c r="O22" i="1"/>
  <c r="D22" i="1" s="1"/>
  <c r="P21" i="1"/>
  <c r="O21" i="1"/>
  <c r="D21" i="1" s="1"/>
  <c r="P20" i="1"/>
  <c r="O20" i="1"/>
  <c r="P19" i="1"/>
  <c r="O19" i="1"/>
  <c r="P18" i="1"/>
  <c r="O18" i="1"/>
  <c r="D18" i="1" s="1"/>
  <c r="P17" i="1"/>
  <c r="O17" i="1"/>
  <c r="D17" i="1" s="1"/>
  <c r="P16" i="1"/>
  <c r="O16" i="1"/>
  <c r="P15" i="1"/>
  <c r="O15" i="1"/>
  <c r="D15" i="1" s="1"/>
  <c r="P14" i="1"/>
  <c r="O14" i="1"/>
  <c r="D14" i="1" s="1"/>
  <c r="P13" i="1"/>
  <c r="O13" i="1"/>
  <c r="P12" i="1"/>
  <c r="O12" i="1"/>
  <c r="D12" i="1" s="1"/>
  <c r="P11" i="1"/>
  <c r="O11" i="1"/>
  <c r="D11" i="1" s="1"/>
  <c r="P10" i="1"/>
  <c r="O10" i="1"/>
  <c r="P9" i="1"/>
  <c r="O9" i="1"/>
  <c r="D36" i="1" l="1"/>
  <c r="D30" i="1"/>
  <c r="D29" i="1"/>
  <c r="D20" i="1"/>
  <c r="D16" i="1"/>
  <c r="D32" i="1"/>
  <c r="D28" i="1"/>
  <c r="D19" i="1"/>
  <c r="D9" i="1"/>
  <c r="D10" i="1"/>
  <c r="D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FPS entier pour le calcul de Dur (30). Drop-frame non compté.</t>
        </r>
      </text>
    </comment>
  </commentList>
</comments>
</file>

<file path=xl/sharedStrings.xml><?xml version="1.0" encoding="utf-8"?>
<sst xmlns="http://schemas.openxmlformats.org/spreadsheetml/2006/main" count="284" uniqueCount="192">
  <si>
    <t>SHOW CONTROL — TIMECODE CUE SHEET</t>
  </si>
  <si>
    <t>Show:</t>
  </si>
  <si>
    <t>Date:</t>
  </si>
  <si>
    <t>Venue:</t>
  </si>
  <si>
    <t>TC Source:</t>
  </si>
  <si>
    <t>LTC</t>
  </si>
  <si>
    <t>Programmer:</t>
  </si>
  <si>
    <t>FPS:</t>
  </si>
  <si>
    <t>Master:</t>
  </si>
  <si>
    <t>Q-SYS Core</t>
  </si>
  <si>
    <t>Version:</t>
  </si>
  <si>
    <t>v2.0</t>
  </si>
  <si>
    <t>Cue</t>
  </si>
  <si>
    <t>TC In</t>
  </si>
  <si>
    <t>TC Out</t>
  </si>
  <si>
    <t>Dur</t>
  </si>
  <si>
    <t>Label / Scene</t>
  </si>
  <si>
    <t>Trigger</t>
  </si>
  <si>
    <t>Dept</t>
  </si>
  <si>
    <t>Device / System</t>
  </si>
  <si>
    <t>Action / Command</t>
  </si>
  <si>
    <t>Addr / Ch</t>
  </si>
  <si>
    <t>Fade</t>
  </si>
  <si>
    <t>Status</t>
  </si>
  <si>
    <t>Notes</t>
  </si>
  <si>
    <t>f_in</t>
  </si>
  <si>
    <t>f_out</t>
  </si>
  <si>
    <t>0</t>
  </si>
  <si>
    <t>Preshow (Animation)</t>
  </si>
  <si>
    <t>GO</t>
  </si>
  <si>
    <t>Standby</t>
  </si>
  <si>
    <t>20:00 animation — pre-roll, no TC</t>
  </si>
  <si>
    <t>0.1</t>
  </si>
  <si>
    <t>00:56:00:00</t>
  </si>
  <si>
    <t>01:00:00:00</t>
  </si>
  <si>
    <t>Prologue</t>
  </si>
  <si>
    <t>TC Chase</t>
  </si>
  <si>
    <t>Live</t>
  </si>
  <si>
    <t>Parade</t>
  </si>
  <si>
    <t>01:06:00:00</t>
  </si>
  <si>
    <t>Ouverture (Opening)</t>
  </si>
  <si>
    <t>Choreo ~3:00</t>
  </si>
  <si>
    <t>↳ 1.1</t>
  </si>
  <si>
    <t>01:07:00:00</t>
  </si>
  <si>
    <t>Transition</t>
  </si>
  <si>
    <t>01:12:00:00</t>
  </si>
  <si>
    <t>Trio Cerceau</t>
  </si>
  <si>
    <t>01:14:00:00</t>
  </si>
  <si>
    <t>01:20:00:00</t>
  </si>
  <si>
    <t>Juggling</t>
  </si>
  <si>
    <t>01:21:00:00</t>
  </si>
  <si>
    <t>Ready</t>
  </si>
  <si>
    <t>01:27:00:00</t>
  </si>
  <si>
    <t>Duo Clown</t>
  </si>
  <si>
    <t>01:28:00:00</t>
  </si>
  <si>
    <t>Platform descend</t>
  </si>
  <si>
    <t>01:33:00:00</t>
  </si>
  <si>
    <t>Aerial Platform</t>
  </si>
  <si>
    <t>Body mapping</t>
  </si>
  <si>
    <t>01:35:00:00</t>
  </si>
  <si>
    <t>Moment on the roof</t>
  </si>
  <si>
    <t>01:41:30:00</t>
  </si>
  <si>
    <t>Icarian / Teeter Board</t>
  </si>
  <si>
    <t>Inflatables</t>
  </si>
  <si>
    <t>INTERMISSION — 0:25:00   ·   last 5 min: audience through the house</t>
  </si>
  <si>
    <t>ACT 2   ·   TC 01:00:00:00 → 01:47:30:00</t>
  </si>
  <si>
    <t>01:01:00:00</t>
  </si>
  <si>
    <t>Intro</t>
  </si>
  <si>
    <t>Masts climbing</t>
  </si>
  <si>
    <t>7</t>
  </si>
  <si>
    <t>01:07:30:00</t>
  </si>
  <si>
    <t>Aerial Ballet</t>
  </si>
  <si>
    <t>↳ 7.1</t>
  </si>
  <si>
    <t>01:08:30:00</t>
  </si>
  <si>
    <t>8</t>
  </si>
  <si>
    <t>01:15:30:00</t>
  </si>
  <si>
    <t>Duo Clown (Cadavre Exquis)</t>
  </si>
  <si>
    <t>↳ 8.1</t>
  </si>
  <si>
    <t>01:17:00:00</t>
  </si>
  <si>
    <t>Marbles set-up &amp; platform IN</t>
  </si>
  <si>
    <t>01:23:30:00</t>
  </si>
  <si>
    <t>Rola Bola</t>
  </si>
  <si>
    <t>↳ 9.1</t>
  </si>
  <si>
    <t>01:26:00:00</t>
  </si>
  <si>
    <t>Transition (Twins loop)</t>
  </si>
  <si>
    <t>Platform OUT</t>
  </si>
  <si>
    <t>Intro TGR</t>
  </si>
  <si>
    <t>10</t>
  </si>
  <si>
    <t>Ginger Rope</t>
  </si>
  <si>
    <t>↳ 10.1</t>
  </si>
  <si>
    <t>01:34:00:00</t>
  </si>
  <si>
    <t>10.2</t>
  </si>
  <si>
    <t>01:37:00:00</t>
  </si>
  <si>
    <t>Tournik set-up</t>
  </si>
  <si>
    <t>11</t>
  </si>
  <si>
    <t>01:44:30:00</t>
  </si>
  <si>
    <t>Rotating Tournik</t>
  </si>
  <si>
    <t>12</t>
  </si>
  <si>
    <t>01:47:30:00</t>
  </si>
  <si>
    <t>Bows (Inflatables + Bows)</t>
  </si>
  <si>
    <t>Type</t>
  </si>
  <si>
    <t>Protocol</t>
  </si>
  <si>
    <t>IP / Addr</t>
  </si>
  <si>
    <t>Port</t>
  </si>
  <si>
    <t>DSP / Control</t>
  </si>
  <si>
    <t>OSC / QRC</t>
  </si>
  <si>
    <t>192.168.10.10</t>
  </si>
  <si>
    <t>1710</t>
  </si>
  <si>
    <t>TC chase master (LTC out)</t>
  </si>
  <si>
    <t>grandMA3</t>
  </si>
  <si>
    <t>Lighting</t>
  </si>
  <si>
    <t>MA-Net / OSC</t>
  </si>
  <si>
    <t>192.168.10.20</t>
  </si>
  <si>
    <t>8000</t>
  </si>
  <si>
    <t>TC pool 1</t>
  </si>
  <si>
    <t>disguise gx3</t>
  </si>
  <si>
    <t>Media Server</t>
  </si>
  <si>
    <t>OSC</t>
  </si>
  <si>
    <t>192.168.10.30</t>
  </si>
  <si>
    <t>2323</t>
  </si>
  <si>
    <t>LTC in from Core</t>
  </si>
  <si>
    <t>Resolume Arena</t>
  </si>
  <si>
    <t>192.168.10.31</t>
  </si>
  <si>
    <t>7000</t>
  </si>
  <si>
    <t>Yamaha CL5</t>
  </si>
  <si>
    <t>FOH Console</t>
  </si>
  <si>
    <t>MIDI / OSC</t>
  </si>
  <si>
    <t>192.168.10.40</t>
  </si>
  <si>
    <t>—</t>
  </si>
  <si>
    <t>Scene recall (MMC)</t>
  </si>
  <si>
    <t>Dante Domain</t>
  </si>
  <si>
    <t>Audio Net</t>
  </si>
  <si>
    <t>Dante / AES67</t>
  </si>
  <si>
    <t>192.168.20.0/24</t>
  </si>
  <si>
    <t>PTPv2 GM = Core</t>
  </si>
  <si>
    <t>Body Map Rig</t>
  </si>
  <si>
    <t>Projection</t>
  </si>
  <si>
    <t>Art-Net / NDI</t>
  </si>
  <si>
    <t>192.168.10.50</t>
  </si>
  <si>
    <t>Aerial Platform mapping</t>
  </si>
  <si>
    <t>Scene / Label</t>
  </si>
  <si>
    <t>PRESHOW</t>
  </si>
  <si>
    <t>DUO CLOWN</t>
  </si>
  <si>
    <t>PROLOGUE - Semer l'amour</t>
  </si>
  <si>
    <t xml:space="preserve">PROLOGUE - It takes a village </t>
  </si>
  <si>
    <t xml:space="preserve">LE JARDIN DES UTOPIES - Opening </t>
  </si>
  <si>
    <t xml:space="preserve">CRÉATION - Hoop Trio </t>
  </si>
  <si>
    <t>NUIT ÉSOTÉRIQUE - Juggling</t>
  </si>
  <si>
    <t>PAS DE DEUX - Aerial plateform</t>
  </si>
  <si>
    <t>TOUT LE MONDE DENSE - Icarian/Teeterboard</t>
  </si>
  <si>
    <t>0.2</t>
  </si>
  <si>
    <t>Turn #</t>
  </si>
  <si>
    <t>Date</t>
  </si>
  <si>
    <t>User Request</t>
  </si>
  <si>
    <t>Action Taken</t>
  </si>
  <si>
    <t>Details</t>
  </si>
  <si>
    <t>Outcome</t>
  </si>
  <si>
    <t>Update Cues sheet with new running order (scene, length, music duration) for Act 1 &amp; Act 2.</t>
  </si>
  <si>
    <t>Compared pasted list to Cues sheet; no changes made to Cues yet — asked user to confirm approach.</t>
  </si>
  <si>
    <t>Act 2 TCs already match new lengths; only cue #s/labels are off by one from row 32 (9.2 Intro Ginger Rope missing, Epilogue → Bows). Act 1 durations shifted from row 11 (0.2 = 6:00 vs 1:30); needs full retime. Open questions: Act 1 TC anchor, where to put Music Duration.</t>
  </si>
  <si>
    <t>Awaiting user confirmation</t>
  </si>
  <si>
    <t>00:36:00:00</t>
  </si>
  <si>
    <t>00:58:30:00</t>
  </si>
  <si>
    <t>ACT 1   ·   TC 00:56:00:00 → 01:41:30:00   ·   Ouverture @ 01:00:00:00   (Prologue = 4:00 pre-roll)</t>
  </si>
  <si>
    <t>Introduction</t>
  </si>
  <si>
    <t>AERIAL RIOT</t>
  </si>
  <si>
    <t>CADAVRE EXQUIS</t>
  </si>
  <si>
    <t>HALLUCINATION COLLECTIVE - Rola Bola</t>
  </si>
  <si>
    <t>Transition - Twin Loop</t>
  </si>
  <si>
    <t>Transition - Intro Ginger Rope</t>
  </si>
  <si>
    <t>AMOUR UTOPIQUE - Ginger Rope</t>
  </si>
  <si>
    <t>Tournik set up</t>
  </si>
  <si>
    <t>ACTION DE GRÂCE</t>
  </si>
  <si>
    <t>BOWS</t>
  </si>
  <si>
    <t>Chose: Act 1 Opening @ 01:00:00:00; music durations go in Notes.</t>
  </si>
  <si>
    <t>Retimed Act 1, fixed Act 2 cue numbers and labels, added music durations to Notes.</t>
  </si>
  <si>
    <t>Cues!B9:C22 retimed (Preshow 00:36:00, Prologue 00:56:00, Opening 01:00:00, end 01:41:30); A8 header end changed to 01:41:30. A25→6.1, A32→9.2; E25:E37 renamed to the new list (Epilogue removed, Bows = 12). Music added to M12, M14, M16, M20, M22, M26, M30, M36 (kept existing notes). Dur column recalculated automatically.</t>
  </si>
  <si>
    <t>Done; read back rows 8–37. Flag: M11 still says 'Choreo ~3:00' but 0.2 is now 1:30.</t>
  </si>
  <si>
    <t>Finding Utopia</t>
  </si>
  <si>
    <t>Montreal</t>
  </si>
  <si>
    <t>Music Dur</t>
  </si>
  <si>
    <t>05:11</t>
  </si>
  <si>
    <t>05:39</t>
  </si>
  <si>
    <t>07:13</t>
  </si>
  <si>
    <t>06:00</t>
  </si>
  <si>
    <t>07:45</t>
  </si>
  <si>
    <t>07:35</t>
  </si>
  <si>
    <t>06:35</t>
  </si>
  <si>
    <t>Move music durations out of Notes into their own new column (placed right after Dur).</t>
  </si>
  <si>
    <t>Inserted 'Music Dur' column at Cues!E; moved the 8 music values there; removed them from Notes.</t>
  </si>
  <si>
    <t>Columns from Label/Scene onward shifted right one (Notes now N, f_in/f_out now O/P, FPS now I4); Dur formulas auto-adjusted and still evaluate. Music values stored as text (mm:ss). Copied Dur formatting to E9:E22 and E25:E37 (first attempt errored on the merged Intermission/Act 2 rows; split into two ranges).</t>
  </si>
  <si>
    <t>Done; re-read A7:P37. M11 'Choreo ~3:00' note (now N11) still open.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</si>
</sst>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5" x14ac:knownFonts="1">
    <font>
      <sz val="11"/>
      <color theme="1"/>
      <name val="Calibri"/>
      <scheme val="minor"/>
    </font>
    <font>
      <b/>
      <sz val="15"/>
      <color rgb="FFFFFFFF"/>
      <name val="Arial"/>
      <family val="2"/>
    </font>
    <font>
      <sz val="11"/>
      <name val="Calibri"/>
      <family val="2"/>
    </font>
    <font>
      <b/>
      <sz val="10"/>
      <color rgb="FF33414F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8"/>
      <color rgb="FF8A93A0"/>
      <name val="Arial"/>
      <family val="2"/>
    </font>
    <font>
      <b/>
      <sz val="11"/>
      <color rgb="FFFFFFFF"/>
      <name val="Arial"/>
      <family val="2"/>
    </font>
    <font>
      <sz val="10"/>
      <color rgb="FF11182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rgb="FF111820"/>
      <name val="Arial"/>
      <family val="2"/>
    </font>
    <font>
      <i/>
      <sz val="10"/>
      <color rgb="FF8A93A0"/>
      <name val="Arial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D7DD2"/>
        <bgColor rgb="FF2D7DD2"/>
      </patternFill>
    </fill>
    <fill>
      <patternFill patternType="solid">
        <fgColor rgb="FFEEF1F4"/>
        <bgColor rgb="FFEEF1F4"/>
      </patternFill>
    </fill>
    <fill>
      <patternFill patternType="solid">
        <fgColor rgb="FF1F2733"/>
        <bgColor rgb="FF1F2733"/>
      </patternFill>
    </fill>
    <fill>
      <patternFill patternType="solid">
        <fgColor rgb="FF33414F"/>
        <bgColor rgb="FF33414F"/>
      </patternFill>
    </fill>
    <fill>
      <patternFill patternType="solid">
        <fgColor rgb="FFF7F9FB"/>
        <bgColor rgb="FFF7F9FB"/>
      </patternFill>
    </fill>
    <fill>
      <patternFill patternType="solid">
        <fgColor rgb="FFFBFCFD"/>
        <bgColor rgb="FFFBFCFD"/>
      </patternFill>
    </fill>
    <fill>
      <patternFill patternType="solid">
        <fgColor rgb="FFD9E1F2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7CDD4"/>
      </left>
      <right/>
      <top style="thin">
        <color rgb="FFC7CDD4"/>
      </top>
      <bottom style="thin">
        <color rgb="FFC7CDD4"/>
      </bottom>
      <diagonal/>
    </border>
    <border>
      <left/>
      <right/>
      <top style="thin">
        <color rgb="FFC7CDD4"/>
      </top>
      <bottom style="thin">
        <color rgb="FFC7CDD4"/>
      </bottom>
      <diagonal/>
    </border>
    <border>
      <left/>
      <right style="thin">
        <color rgb="FFC7CDD4"/>
      </right>
      <top style="thin">
        <color rgb="FFC7CDD4"/>
      </top>
      <bottom style="thin">
        <color rgb="FFC7CDD4"/>
      </bottom>
      <diagonal/>
    </border>
    <border>
      <left style="thin">
        <color rgb="FFC7CDD4"/>
      </left>
      <right style="thin">
        <color rgb="FFC7CDD4"/>
      </right>
      <top style="thin">
        <color rgb="FFC7CDD4"/>
      </top>
      <bottom style="thin">
        <color rgb="FFC7CDD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 applyAlignment="1">
      <alignment vertical="center"/>
    </xf>
    <xf numFmtId="0" fontId="4" fillId="3" borderId="7" xfId="0" applyFont="1" applyFill="1" applyBorder="1" applyAlignment="1">
      <alignment vertical="center"/>
    </xf>
    <xf numFmtId="0" fontId="5" fillId="4" borderId="7" xfId="0" applyFont="1" applyFill="1" applyBorder="1" applyAlignment="1">
      <alignment horizontal="center" vertical="center" wrapText="1"/>
    </xf>
    <xf numFmtId="0" fontId="6" fillId="0" borderId="0" xfId="0" applyFont="1"/>
    <xf numFmtId="0" fontId="8" fillId="6" borderId="7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/>
    <xf numFmtId="0" fontId="11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center"/>
    </xf>
    <xf numFmtId="0" fontId="12" fillId="7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12" fillId="7" borderId="7" xfId="0" applyFont="1" applyFill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11" fillId="6" borderId="7" xfId="0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vertical="center"/>
    </xf>
    <xf numFmtId="0" fontId="2" fillId="0" borderId="5" xfId="0" applyFont="1" applyBorder="1"/>
    <xf numFmtId="0" fontId="2" fillId="0" borderId="6" xfId="0" applyFont="1" applyBorder="1"/>
    <xf numFmtId="164" fontId="4" fillId="3" borderId="4" xfId="0" applyNumberFormat="1" applyFont="1" applyFill="1" applyBorder="1" applyAlignment="1">
      <alignment vertical="center"/>
    </xf>
    <xf numFmtId="0" fontId="14" fillId="8" borderId="0" xfId="0" applyFont="1" applyFill="1"/>
    <xf numFmtId="14" fontId="0" fillId="0" borderId="0" xfId="0" applyNumberFormat="1"/>
    <xf numFmtId="49" fontId="11" fillId="0" borderId="7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6">
    <dxf>
      <font>
        <b/>
        <strike/>
        <sz val="10"/>
        <color rgb="FFFFFFFF"/>
        <name val="Arial"/>
      </font>
      <fill>
        <patternFill patternType="solid">
          <fgColor rgb="FF495057"/>
          <bgColor rgb="FF495057"/>
        </patternFill>
      </fill>
    </dxf>
    <dxf>
      <font>
        <sz val="10"/>
        <color rgb="FF5C636A"/>
        <name val="Arial"/>
      </font>
      <fill>
        <patternFill patternType="solid">
          <fgColor rgb="FFDEE2E6"/>
          <bgColor rgb="FFDEE2E6"/>
        </patternFill>
      </fill>
    </dxf>
    <dxf>
      <font>
        <b/>
        <sz val="10"/>
        <color rgb="FFFFFFFF"/>
        <name val="Arial"/>
      </font>
      <fill>
        <patternFill patternType="solid">
          <fgColor rgb="FF1971C2"/>
          <bgColor rgb="FF1971C2"/>
        </patternFill>
      </fill>
    </dxf>
    <dxf>
      <font>
        <b/>
        <sz val="10"/>
        <color rgb="FFFFFFFF"/>
        <name val="Arial"/>
      </font>
      <fill>
        <patternFill patternType="solid">
          <fgColor rgb="FFF08C00"/>
          <bgColor rgb="FFF08C00"/>
        </patternFill>
      </fill>
    </dxf>
    <dxf>
      <font>
        <b/>
        <sz val="10"/>
        <color rgb="FFFFFFFF"/>
        <name val="Arial"/>
      </font>
      <fill>
        <patternFill patternType="solid">
          <fgColor rgb="FF2F9E44"/>
          <bgColor rgb="FF2F9E44"/>
        </patternFill>
      </fill>
    </dxf>
    <dxf>
      <font>
        <b/>
        <sz val="10"/>
        <color rgb="FFFFFFFF"/>
        <name val="Arial"/>
      </font>
      <fill>
        <patternFill patternType="solid">
          <fgColor rgb="FFE03131"/>
          <bgColor rgb="FFE0313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25F151-188E-A945-9E1B-46D5504B70E6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7cc14827-593e-4413-bf79-26ad7719fc5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A754-F9D1-A949-92C6-87684C968779}">
  <dimension ref="A1:F4"/>
  <sheetViews>
    <sheetView workbookViewId="0"/>
  </sheetViews>
  <sheetFormatPr baseColWidth="10" defaultRowHeight="15" x14ac:dyDescent="0.2"/>
  <cols>
    <col min="1" max="1" width="5.83203125" bestFit="1" customWidth="1"/>
    <col min="2" max="2" width="10.1640625" bestFit="1" customWidth="1"/>
    <col min="3" max="3" width="71.33203125" bestFit="1" customWidth="1"/>
    <col min="4" max="4" width="78.83203125" bestFit="1" customWidth="1"/>
    <col min="5" max="5" width="210.33203125" bestFit="1" customWidth="1"/>
    <col min="6" max="6" width="22" bestFit="1" customWidth="1"/>
  </cols>
  <sheetData>
    <row r="1" spans="1:6" x14ac:dyDescent="0.2">
      <c r="A1" s="27" t="s">
        <v>151</v>
      </c>
      <c r="B1" s="27" t="s">
        <v>152</v>
      </c>
      <c r="C1" s="27" t="s">
        <v>153</v>
      </c>
      <c r="D1" s="27" t="s">
        <v>154</v>
      </c>
      <c r="E1" s="27" t="s">
        <v>155</v>
      </c>
      <c r="F1" s="27" t="s">
        <v>156</v>
      </c>
    </row>
    <row r="2" spans="1:6" x14ac:dyDescent="0.2">
      <c r="A2">
        <v>1</v>
      </c>
      <c r="B2" s="28">
        <v>46322</v>
      </c>
      <c r="C2" t="s">
        <v>157</v>
      </c>
      <c r="D2" t="s">
        <v>158</v>
      </c>
      <c r="E2" t="s">
        <v>159</v>
      </c>
      <c r="F2" t="s">
        <v>160</v>
      </c>
    </row>
    <row r="3" spans="1:6" x14ac:dyDescent="0.2">
      <c r="A3">
        <v>2</v>
      </c>
      <c r="B3" s="28">
        <v>46322</v>
      </c>
      <c r="C3" t="s">
        <v>174</v>
      </c>
      <c r="D3" t="s">
        <v>175</v>
      </c>
      <c r="E3" t="s">
        <v>176</v>
      </c>
      <c r="F3" t="s">
        <v>177</v>
      </c>
    </row>
    <row r="4" spans="1:6" x14ac:dyDescent="0.2">
      <c r="A4">
        <v>3</v>
      </c>
      <c r="B4" s="28">
        <v>46322</v>
      </c>
      <c r="C4" t="s">
        <v>188</v>
      </c>
      <c r="D4" t="s">
        <v>189</v>
      </c>
      <c r="E4" t="s">
        <v>190</v>
      </c>
      <c r="F4" t="s">
        <v>191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showGridLines="0" tabSelected="1" topLeftCell="F1" zoomScale="167" workbookViewId="0">
      <pane ySplit="7" topLeftCell="A8" activePane="bottomLeft" state="frozen"/>
      <selection pane="bottomLeft" activeCell="J28" sqref="J28"/>
    </sheetView>
  </sheetViews>
  <sheetFormatPr baseColWidth="10" defaultColWidth="14.5" defaultRowHeight="15" customHeight="1" x14ac:dyDescent="0.2"/>
  <cols>
    <col min="1" max="1" width="8" customWidth="1"/>
    <col min="2" max="3" width="12" customWidth="1"/>
    <col min="4" max="5" width="11" customWidth="1"/>
    <col min="6" max="6" width="48.5" customWidth="1"/>
    <col min="7" max="7" width="12" customWidth="1"/>
    <col min="8" max="8" width="11" customWidth="1"/>
    <col min="9" max="9" width="18" customWidth="1"/>
    <col min="10" max="10" width="26" customWidth="1"/>
    <col min="11" max="11" width="11" customWidth="1"/>
    <col min="12" max="12" width="7" customWidth="1"/>
    <col min="13" max="13" width="11" customWidth="1"/>
    <col min="14" max="14" width="30" customWidth="1"/>
    <col min="15" max="16" width="13" hidden="1" customWidth="1"/>
    <col min="17" max="27" width="8.6640625" customWidth="1"/>
  </cols>
  <sheetData>
    <row r="1" spans="1:16" ht="25.5" customHeight="1" x14ac:dyDescent="0.2">
      <c r="A1" s="22" t="s">
        <v>0</v>
      </c>
      <c r="B1" s="20"/>
      <c r="C1" s="20"/>
      <c r="D1" s="20"/>
      <c r="E1" s="21"/>
      <c r="F1" s="20"/>
      <c r="G1" s="20"/>
      <c r="H1" s="20"/>
      <c r="I1" s="20"/>
      <c r="J1" s="20"/>
      <c r="K1" s="20"/>
      <c r="L1" s="20"/>
      <c r="M1" s="20"/>
      <c r="N1" s="21"/>
    </row>
    <row r="2" spans="1:16" x14ac:dyDescent="0.2">
      <c r="A2" s="1" t="s">
        <v>1</v>
      </c>
      <c r="B2" s="23" t="s">
        <v>178</v>
      </c>
      <c r="C2" s="24"/>
      <c r="D2" s="24"/>
      <c r="E2" s="24"/>
      <c r="F2" s="25"/>
      <c r="H2" s="1" t="s">
        <v>2</v>
      </c>
      <c r="I2" s="26">
        <v>46184</v>
      </c>
      <c r="J2" s="25"/>
    </row>
    <row r="3" spans="1:16" x14ac:dyDescent="0.2">
      <c r="A3" s="1" t="s">
        <v>3</v>
      </c>
      <c r="B3" s="23" t="s">
        <v>179</v>
      </c>
      <c r="C3" s="24"/>
      <c r="D3" s="24"/>
      <c r="E3" s="24"/>
      <c r="F3" s="25"/>
      <c r="H3" s="1" t="s">
        <v>4</v>
      </c>
      <c r="I3" s="23" t="s">
        <v>5</v>
      </c>
      <c r="J3" s="25"/>
    </row>
    <row r="4" spans="1:16" x14ac:dyDescent="0.2">
      <c r="A4" s="1" t="s">
        <v>6</v>
      </c>
      <c r="B4" s="23"/>
      <c r="C4" s="24"/>
      <c r="D4" s="24"/>
      <c r="E4" s="24"/>
      <c r="F4" s="25"/>
      <c r="H4" s="1" t="s">
        <v>7</v>
      </c>
      <c r="I4" s="2">
        <v>30</v>
      </c>
    </row>
    <row r="5" spans="1:16" x14ac:dyDescent="0.2">
      <c r="A5" s="1" t="s">
        <v>8</v>
      </c>
      <c r="B5" s="23"/>
      <c r="C5" s="24"/>
      <c r="D5" s="24"/>
      <c r="E5" s="24"/>
      <c r="F5" s="25"/>
      <c r="H5" s="1" t="s">
        <v>10</v>
      </c>
      <c r="I5" s="2" t="s">
        <v>11</v>
      </c>
    </row>
    <row r="7" spans="1:16" ht="21.75" customHeight="1" x14ac:dyDescent="0.2">
      <c r="A7" s="3" t="s">
        <v>12</v>
      </c>
      <c r="B7" s="3" t="s">
        <v>13</v>
      </c>
      <c r="C7" s="3" t="s">
        <v>14</v>
      </c>
      <c r="D7" s="3" t="s">
        <v>15</v>
      </c>
      <c r="E7" s="3" t="s">
        <v>180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3" t="s">
        <v>21</v>
      </c>
      <c r="L7" s="3" t="s">
        <v>22</v>
      </c>
      <c r="M7" s="3" t="s">
        <v>23</v>
      </c>
      <c r="N7" s="3" t="s">
        <v>24</v>
      </c>
      <c r="O7" s="4" t="s">
        <v>25</v>
      </c>
      <c r="P7" s="4" t="s">
        <v>26</v>
      </c>
    </row>
    <row r="8" spans="1:16" ht="19.5" customHeight="1" x14ac:dyDescent="0.2">
      <c r="A8" s="19" t="s">
        <v>163</v>
      </c>
      <c r="B8" s="20"/>
      <c r="C8" s="20"/>
      <c r="D8" s="20"/>
      <c r="E8" s="21"/>
      <c r="F8" s="20"/>
      <c r="G8" s="20"/>
      <c r="H8" s="20"/>
      <c r="I8" s="20"/>
      <c r="J8" s="20"/>
      <c r="K8" s="20"/>
      <c r="L8" s="20"/>
      <c r="M8" s="20"/>
      <c r="N8" s="21"/>
    </row>
    <row r="9" spans="1:16" x14ac:dyDescent="0.2">
      <c r="A9" s="5" t="s">
        <v>27</v>
      </c>
      <c r="B9" s="5" t="s">
        <v>161</v>
      </c>
      <c r="C9" s="5" t="s">
        <v>33</v>
      </c>
      <c r="D9" s="6" t="str">
        <f t="shared" ref="D9:D22" si="0">IF(OR(O9="",P9=""),"",TEXT(INT((MOD(P9-O9,86400*$I$4))/(3600*$I$4)),"00")&amp;":"&amp;TEXT(INT(MOD(MOD(P9-O9,86400*$I$4),3600*$I$4)/(60*$I$4)),"00")&amp;":"&amp;TEXT(INT(MOD(MOD(P9-O9,86400*$I$4),60*$I$4)/$I$4),"00")&amp;":"&amp;TEXT(MOD(MOD(P9-O9,86400*$I$4),$I$4),"00"))</f>
        <v>00:20:00:00</v>
      </c>
      <c r="E9" s="6"/>
      <c r="F9" s="7" t="s">
        <v>141</v>
      </c>
      <c r="G9" s="5" t="s">
        <v>29</v>
      </c>
      <c r="H9" s="5"/>
      <c r="I9" s="7"/>
      <c r="J9" s="7"/>
      <c r="K9" s="5"/>
      <c r="L9" s="5"/>
      <c r="M9" s="5" t="s">
        <v>30</v>
      </c>
      <c r="N9" s="7" t="s">
        <v>31</v>
      </c>
      <c r="O9" s="8">
        <f>IF(B9="","",(VALUE(LEFT(B9,2))*3600+VALUE(MID(B9,4,2))*60+VALUE(MID(B9,7,2)))*$I$4+VALUE(RIGHT(B9,2)))</f>
        <v>64800</v>
      </c>
      <c r="P9" s="8">
        <f>IF(C9="","",(VALUE(LEFT(C9,2))*3600+VALUE(MID(C9,4,2))*60+VALUE(MID(C9,7,2)))*$I$4+VALUE(RIGHT(C9,2)))</f>
        <v>100800</v>
      </c>
    </row>
    <row r="10" spans="1:16" x14ac:dyDescent="0.2">
      <c r="A10" s="5" t="s">
        <v>32</v>
      </c>
      <c r="B10" s="5" t="s">
        <v>33</v>
      </c>
      <c r="C10" s="5" t="s">
        <v>162</v>
      </c>
      <c r="D10" s="6" t="str">
        <f t="shared" si="0"/>
        <v>00:02:30:00</v>
      </c>
      <c r="E10" s="6"/>
      <c r="F10" s="7" t="s">
        <v>143</v>
      </c>
      <c r="G10" s="5" t="s">
        <v>36</v>
      </c>
      <c r="H10" s="5"/>
      <c r="I10" s="7"/>
      <c r="J10" s="7"/>
      <c r="K10" s="5"/>
      <c r="L10" s="5"/>
      <c r="M10" s="5" t="s">
        <v>37</v>
      </c>
      <c r="N10" s="7" t="s">
        <v>38</v>
      </c>
      <c r="O10" s="9">
        <f>IF(B10="","",(VALUE(LEFT(B10,2))*3600+VALUE(MID(B10,4,2))*60+VALUE(MID(B10,7,2)))*$I$4+VALUE(RIGHT(B10,2)))</f>
        <v>100800</v>
      </c>
      <c r="P10" s="9">
        <f>IF(C10="","",(VALUE(LEFT(C10,2))*3600+VALUE(MID(C10,4,2))*60+VALUE(MID(C10,7,2)))*$I$4+VALUE(RIGHT(C10,2)))</f>
        <v>105300</v>
      </c>
    </row>
    <row r="11" spans="1:16" x14ac:dyDescent="0.2">
      <c r="A11" s="5" t="s">
        <v>150</v>
      </c>
      <c r="B11" s="5" t="s">
        <v>162</v>
      </c>
      <c r="C11" s="5" t="s">
        <v>34</v>
      </c>
      <c r="D11" s="5" t="str">
        <f t="shared" si="0"/>
        <v>00:01:30:00</v>
      </c>
      <c r="E11" s="5"/>
      <c r="F11" s="7" t="s">
        <v>144</v>
      </c>
      <c r="G11" s="10" t="s">
        <v>36</v>
      </c>
      <c r="H11" s="10"/>
      <c r="I11" s="12"/>
      <c r="J11" s="12"/>
      <c r="K11" s="10"/>
      <c r="L11" s="10"/>
      <c r="M11" s="10" t="s">
        <v>30</v>
      </c>
      <c r="N11" s="12" t="s">
        <v>41</v>
      </c>
      <c r="O11" s="9">
        <f>IF(B11="","",(VALUE(LEFT(B11,2))*3600+VALUE(MID(B11,4,2))*60+VALUE(MID(B11,7,2)))*$I$4+VALUE(RIGHT(B11,2)))</f>
        <v>105300</v>
      </c>
      <c r="P11" s="9">
        <f>IF(C11="","",(VALUE(LEFT(C11,2))*3600+VALUE(MID(C11,4,2))*60+VALUE(MID(C11,7,2)))*$I$4+VALUE(RIGHT(C11,2)))</f>
        <v>108000</v>
      </c>
    </row>
    <row r="12" spans="1:16" x14ac:dyDescent="0.2">
      <c r="A12" s="10">
        <v>1</v>
      </c>
      <c r="B12" s="10" t="s">
        <v>34</v>
      </c>
      <c r="C12" s="10" t="s">
        <v>39</v>
      </c>
      <c r="D12" s="10" t="str">
        <f t="shared" si="0"/>
        <v>00:06:00:00</v>
      </c>
      <c r="E12" s="29" t="s">
        <v>181</v>
      </c>
      <c r="F12" s="12" t="s">
        <v>145</v>
      </c>
      <c r="G12" s="13" t="s">
        <v>36</v>
      </c>
      <c r="H12" s="13"/>
      <c r="I12" s="15"/>
      <c r="J12" s="15"/>
      <c r="K12" s="13"/>
      <c r="L12" s="13"/>
      <c r="M12" s="13" t="s">
        <v>30</v>
      </c>
      <c r="N12" s="15"/>
      <c r="O12" s="9">
        <f>IF(B12="","",(VALUE(LEFT(B12,2))*3600+VALUE(MID(B12,4,2))*60+VALUE(MID(B12,7,2)))*$I$4+VALUE(RIGHT(B12,2)))</f>
        <v>108000</v>
      </c>
      <c r="P12" s="9">
        <f>IF(C12="","",(VALUE(LEFT(C12,2))*3600+VALUE(MID(C12,4,2))*60+VALUE(MID(C12,7,2)))*$I$4+VALUE(RIGHT(C12,2)))</f>
        <v>118800</v>
      </c>
    </row>
    <row r="13" spans="1:16" x14ac:dyDescent="0.2">
      <c r="A13" s="10" t="s">
        <v>42</v>
      </c>
      <c r="B13" s="13" t="s">
        <v>39</v>
      </c>
      <c r="C13" s="13" t="s">
        <v>43</v>
      </c>
      <c r="D13" s="13" t="str">
        <f t="shared" si="0"/>
        <v>00:01:00:00</v>
      </c>
      <c r="E13" s="13"/>
      <c r="F13" s="15" t="s">
        <v>44</v>
      </c>
      <c r="G13" s="10" t="s">
        <v>36</v>
      </c>
      <c r="H13" s="10"/>
      <c r="I13" s="12"/>
      <c r="J13" s="12"/>
      <c r="K13" s="10"/>
      <c r="L13" s="10"/>
      <c r="M13" s="10" t="s">
        <v>30</v>
      </c>
      <c r="N13" s="12"/>
      <c r="O13" s="9">
        <f>IF(B13="","",(VALUE(LEFT(B13,2))*3600+VALUE(MID(B13,4,2))*60+VALUE(MID(B13,7,2)))*$I$4+VALUE(RIGHT(B13,2)))</f>
        <v>118800</v>
      </c>
      <c r="P13" s="9">
        <f>IF(C13="","",(VALUE(LEFT(C13,2))*3600+VALUE(MID(C13,4,2))*60+VALUE(MID(C13,7,2)))*$I$4+VALUE(RIGHT(C13,2)))</f>
        <v>120600</v>
      </c>
    </row>
    <row r="14" spans="1:16" x14ac:dyDescent="0.2">
      <c r="A14" s="10">
        <v>2</v>
      </c>
      <c r="B14" s="10" t="s">
        <v>43</v>
      </c>
      <c r="C14" s="10" t="s">
        <v>45</v>
      </c>
      <c r="D14" s="10" t="str">
        <f t="shared" si="0"/>
        <v>00:05:00:00</v>
      </c>
      <c r="E14" s="29" t="s">
        <v>182</v>
      </c>
      <c r="F14" s="12" t="s">
        <v>146</v>
      </c>
      <c r="G14" s="13" t="s">
        <v>36</v>
      </c>
      <c r="H14" s="13"/>
      <c r="I14" s="15"/>
      <c r="J14" s="15"/>
      <c r="K14" s="13"/>
      <c r="L14" s="13"/>
      <c r="M14" s="13" t="s">
        <v>30</v>
      </c>
      <c r="N14" s="15"/>
      <c r="O14" s="9">
        <f>IF(B14="","",(VALUE(LEFT(B14,2))*3600+VALUE(MID(B14,4,2))*60+VALUE(MID(B14,7,2)))*$I$4+VALUE(RIGHT(B14,2)))</f>
        <v>120600</v>
      </c>
      <c r="P14" s="9">
        <f>IF(C14="","",(VALUE(LEFT(C14,2))*3600+VALUE(MID(C14,4,2))*60+VALUE(MID(C14,7,2)))*$I$4+VALUE(RIGHT(C14,2)))</f>
        <v>129600</v>
      </c>
    </row>
    <row r="15" spans="1:16" x14ac:dyDescent="0.2">
      <c r="A15" s="10">
        <v>2.1</v>
      </c>
      <c r="B15" s="13" t="s">
        <v>45</v>
      </c>
      <c r="C15" s="13" t="s">
        <v>47</v>
      </c>
      <c r="D15" s="13" t="str">
        <f t="shared" si="0"/>
        <v>00:02:00:00</v>
      </c>
      <c r="E15" s="13"/>
      <c r="F15" s="15" t="s">
        <v>44</v>
      </c>
      <c r="G15" s="10" t="s">
        <v>36</v>
      </c>
      <c r="H15" s="10"/>
      <c r="I15" s="12"/>
      <c r="J15" s="12"/>
      <c r="K15" s="10"/>
      <c r="L15" s="10"/>
      <c r="M15" s="10" t="s">
        <v>30</v>
      </c>
      <c r="N15" s="12"/>
      <c r="O15" s="9">
        <f>IF(B15="","",(VALUE(LEFT(B15,2))*3600+VALUE(MID(B15,4,2))*60+VALUE(MID(B15,7,2)))*$I$4+VALUE(RIGHT(B15,2)))</f>
        <v>129600</v>
      </c>
      <c r="P15" s="9">
        <f>IF(C15="","",(VALUE(LEFT(C15,2))*3600+VALUE(MID(C15,4,2))*60+VALUE(MID(C15,7,2)))*$I$4+VALUE(RIGHT(C15,2)))</f>
        <v>133200</v>
      </c>
    </row>
    <row r="16" spans="1:16" x14ac:dyDescent="0.2">
      <c r="A16" s="10">
        <v>3</v>
      </c>
      <c r="B16" s="10" t="s">
        <v>47</v>
      </c>
      <c r="C16" s="10" t="s">
        <v>48</v>
      </c>
      <c r="D16" s="10" t="str">
        <f t="shared" si="0"/>
        <v>00:06:00:00</v>
      </c>
      <c r="E16" s="29" t="s">
        <v>183</v>
      </c>
      <c r="F16" s="12" t="s">
        <v>147</v>
      </c>
      <c r="G16" s="13" t="s">
        <v>36</v>
      </c>
      <c r="H16" s="13"/>
      <c r="I16" s="15"/>
      <c r="J16" s="15"/>
      <c r="K16" s="13"/>
      <c r="L16" s="13"/>
      <c r="M16" s="13" t="s">
        <v>51</v>
      </c>
      <c r="N16" s="15"/>
      <c r="O16" s="9">
        <f>IF(B16="","",(VALUE(LEFT(B16,2))*3600+VALUE(MID(B16,4,2))*60+VALUE(MID(B16,7,2)))*$I$4+VALUE(RIGHT(B16,2)))</f>
        <v>133200</v>
      </c>
      <c r="P16" s="9">
        <f>IF(C16="","",(VALUE(LEFT(C16,2))*3600+VALUE(MID(C16,4,2))*60+VALUE(MID(C16,7,2)))*$I$4+VALUE(RIGHT(C16,2)))</f>
        <v>144000</v>
      </c>
    </row>
    <row r="17" spans="1:16" x14ac:dyDescent="0.2">
      <c r="A17" s="10">
        <v>3.1</v>
      </c>
      <c r="B17" s="13" t="s">
        <v>48</v>
      </c>
      <c r="C17" s="13" t="s">
        <v>50</v>
      </c>
      <c r="D17" s="13" t="str">
        <f t="shared" si="0"/>
        <v>00:01:00:00</v>
      </c>
      <c r="E17" s="13"/>
      <c r="F17" s="15" t="s">
        <v>44</v>
      </c>
      <c r="G17" s="10" t="s">
        <v>36</v>
      </c>
      <c r="H17" s="10"/>
      <c r="I17" s="12"/>
      <c r="J17" s="12"/>
      <c r="K17" s="10"/>
      <c r="L17" s="10"/>
      <c r="M17" s="10" t="s">
        <v>30</v>
      </c>
      <c r="N17" s="12"/>
      <c r="O17" s="9">
        <f>IF(B17="","",(VALUE(LEFT(B17,2))*3600+VALUE(MID(B17,4,2))*60+VALUE(MID(B17,7,2)))*$I$4+VALUE(RIGHT(B17,2)))</f>
        <v>144000</v>
      </c>
      <c r="P17" s="9">
        <f>IF(C17="","",(VALUE(LEFT(C17,2))*3600+VALUE(MID(C17,4,2))*60+VALUE(MID(C17,7,2)))*$I$4+VALUE(RIGHT(C17,2)))</f>
        <v>145800</v>
      </c>
    </row>
    <row r="18" spans="1:16" x14ac:dyDescent="0.2">
      <c r="A18" s="10">
        <v>4</v>
      </c>
      <c r="B18" s="10" t="s">
        <v>50</v>
      </c>
      <c r="C18" s="10" t="s">
        <v>52</v>
      </c>
      <c r="D18" s="10" t="str">
        <f t="shared" si="0"/>
        <v>00:06:00:00</v>
      </c>
      <c r="E18" s="10"/>
      <c r="F18" s="12" t="s">
        <v>142</v>
      </c>
      <c r="G18" s="13" t="s">
        <v>36</v>
      </c>
      <c r="H18" s="13"/>
      <c r="I18" s="15"/>
      <c r="J18" s="15"/>
      <c r="K18" s="13"/>
      <c r="L18" s="13"/>
      <c r="M18" s="13" t="s">
        <v>30</v>
      </c>
      <c r="N18" s="15" t="s">
        <v>55</v>
      </c>
      <c r="O18" s="9">
        <f>IF(B18="","",(VALUE(LEFT(B18,2))*3600+VALUE(MID(B18,4,2))*60+VALUE(MID(B18,7,2)))*$I$4+VALUE(RIGHT(B18,2)))</f>
        <v>145800</v>
      </c>
      <c r="P18" s="9">
        <f>IF(C18="","",(VALUE(LEFT(C18,2))*3600+VALUE(MID(C18,4,2))*60+VALUE(MID(C18,7,2)))*$I$4+VALUE(RIGHT(C18,2)))</f>
        <v>156600</v>
      </c>
    </row>
    <row r="19" spans="1:16" x14ac:dyDescent="0.2">
      <c r="A19" s="10">
        <v>4.0999999999999996</v>
      </c>
      <c r="B19" s="13" t="s">
        <v>52</v>
      </c>
      <c r="C19" s="13" t="s">
        <v>54</v>
      </c>
      <c r="D19" s="13" t="str">
        <f t="shared" si="0"/>
        <v>00:01:00:00</v>
      </c>
      <c r="E19" s="13"/>
      <c r="F19" s="15" t="s">
        <v>44</v>
      </c>
      <c r="G19" s="10" t="s">
        <v>36</v>
      </c>
      <c r="H19" s="10"/>
      <c r="I19" s="12"/>
      <c r="J19" s="12"/>
      <c r="K19" s="10"/>
      <c r="L19" s="10"/>
      <c r="M19" s="10" t="s">
        <v>30</v>
      </c>
      <c r="N19" s="12" t="s">
        <v>58</v>
      </c>
      <c r="O19" s="9">
        <f>IF(B19="","",(VALUE(LEFT(B19,2))*3600+VALUE(MID(B19,4,2))*60+VALUE(MID(B19,7,2)))*$I$4+VALUE(RIGHT(B19,2)))</f>
        <v>156600</v>
      </c>
      <c r="P19" s="9">
        <f>IF(C19="","",(VALUE(LEFT(C19,2))*3600+VALUE(MID(C19,4,2))*60+VALUE(MID(C19,7,2)))*$I$4+VALUE(RIGHT(C19,2)))</f>
        <v>158400</v>
      </c>
    </row>
    <row r="20" spans="1:16" x14ac:dyDescent="0.2">
      <c r="A20" s="10">
        <v>5</v>
      </c>
      <c r="B20" s="10" t="s">
        <v>54</v>
      </c>
      <c r="C20" s="10" t="s">
        <v>56</v>
      </c>
      <c r="D20" s="10" t="str">
        <f t="shared" si="0"/>
        <v>00:05:00:00</v>
      </c>
      <c r="E20" s="29" t="s">
        <v>184</v>
      </c>
      <c r="F20" s="12" t="s">
        <v>148</v>
      </c>
      <c r="G20" s="13" t="s">
        <v>36</v>
      </c>
      <c r="H20" s="13"/>
      <c r="I20" s="15"/>
      <c r="J20" s="15"/>
      <c r="K20" s="13"/>
      <c r="L20" s="13"/>
      <c r="M20" s="13" t="s">
        <v>30</v>
      </c>
      <c r="N20" s="15" t="s">
        <v>60</v>
      </c>
      <c r="O20" s="9">
        <f>IF(B20="","",(VALUE(LEFT(B20,2))*3600+VALUE(MID(B20,4,2))*60+VALUE(MID(B20,7,2)))*$I$4+VALUE(RIGHT(B20,2)))</f>
        <v>158400</v>
      </c>
      <c r="P20" s="9">
        <f>IF(C20="","",(VALUE(LEFT(C20,2))*3600+VALUE(MID(C20,4,2))*60+VALUE(MID(C20,7,2)))*$I$4+VALUE(RIGHT(C20,2)))</f>
        <v>167400</v>
      </c>
    </row>
    <row r="21" spans="1:16" ht="15.75" customHeight="1" x14ac:dyDescent="0.2">
      <c r="A21" s="10">
        <v>5.0999999999999996</v>
      </c>
      <c r="B21" s="13" t="s">
        <v>56</v>
      </c>
      <c r="C21" s="13" t="s">
        <v>59</v>
      </c>
      <c r="D21" s="13" t="str">
        <f t="shared" si="0"/>
        <v>00:02:00:00</v>
      </c>
      <c r="E21" s="13"/>
      <c r="F21" s="15" t="s">
        <v>44</v>
      </c>
      <c r="G21" s="10" t="s">
        <v>36</v>
      </c>
      <c r="H21" s="10"/>
      <c r="I21" s="12"/>
      <c r="J21" s="12"/>
      <c r="K21" s="10"/>
      <c r="L21" s="10"/>
      <c r="M21" s="10" t="s">
        <v>30</v>
      </c>
      <c r="N21" s="12"/>
      <c r="O21" s="9">
        <f>IF(B21="","",(VALUE(LEFT(B21,2))*3600+VALUE(MID(B21,4,2))*60+VALUE(MID(B21,7,2)))*$I$4+VALUE(RIGHT(B21,2)))</f>
        <v>167400</v>
      </c>
      <c r="P21" s="9">
        <f>IF(C21="","",(VALUE(LEFT(C21,2))*3600+VALUE(MID(C21,4,2))*60+VALUE(MID(C21,7,2)))*$I$4+VALUE(RIGHT(C21,2)))</f>
        <v>171000</v>
      </c>
    </row>
    <row r="22" spans="1:16" ht="15.75" customHeight="1" x14ac:dyDescent="0.2">
      <c r="A22" s="10">
        <v>6</v>
      </c>
      <c r="B22" s="10" t="s">
        <v>59</v>
      </c>
      <c r="C22" s="10" t="s">
        <v>61</v>
      </c>
      <c r="D22" s="10" t="str">
        <f t="shared" si="0"/>
        <v>00:06:30:00</v>
      </c>
      <c r="E22" s="29" t="s">
        <v>185</v>
      </c>
      <c r="F22" s="12" t="s">
        <v>149</v>
      </c>
      <c r="G22" s="5" t="s">
        <v>36</v>
      </c>
      <c r="H22" s="5"/>
      <c r="I22" s="7"/>
      <c r="J22" s="7"/>
      <c r="K22" s="5"/>
      <c r="L22" s="5"/>
      <c r="M22" s="5" t="s">
        <v>30</v>
      </c>
      <c r="N22" s="7"/>
      <c r="O22" s="9">
        <f>IF(B22="","",(VALUE(LEFT(B22,2))*3600+VALUE(MID(B22,4,2))*60+VALUE(MID(B22,7,2)))*$I$4+VALUE(RIGHT(B22,2)))</f>
        <v>171000</v>
      </c>
      <c r="P22" s="9">
        <f>IF(C22="","",(VALUE(LEFT(C22,2))*3600+VALUE(MID(C22,4,2))*60+VALUE(MID(C22,7,2)))*$I$4+VALUE(RIGHT(C22,2)))</f>
        <v>182700</v>
      </c>
    </row>
    <row r="23" spans="1:16" ht="19.5" customHeight="1" x14ac:dyDescent="0.2">
      <c r="A23" s="19" t="s">
        <v>64</v>
      </c>
      <c r="B23" s="20"/>
      <c r="C23" s="20"/>
      <c r="D23" s="20"/>
      <c r="E23" s="21"/>
      <c r="F23" s="20"/>
      <c r="G23" s="20"/>
      <c r="H23" s="20"/>
      <c r="I23" s="20"/>
      <c r="J23" s="20"/>
      <c r="K23" s="20"/>
      <c r="L23" s="20"/>
      <c r="M23" s="20"/>
      <c r="N23" s="21"/>
    </row>
    <row r="24" spans="1:16" ht="19.5" customHeight="1" x14ac:dyDescent="0.2">
      <c r="A24" s="19" t="s">
        <v>65</v>
      </c>
      <c r="B24" s="20"/>
      <c r="C24" s="20"/>
      <c r="D24" s="20"/>
      <c r="E24" s="21"/>
      <c r="F24" s="20"/>
      <c r="G24" s="20"/>
      <c r="H24" s="20"/>
      <c r="I24" s="20"/>
      <c r="J24" s="20"/>
      <c r="K24" s="20"/>
      <c r="L24" s="20"/>
      <c r="M24" s="20"/>
      <c r="N24" s="21"/>
    </row>
    <row r="25" spans="1:16" ht="15.75" customHeight="1" x14ac:dyDescent="0.2">
      <c r="A25" s="5">
        <v>6.1</v>
      </c>
      <c r="B25" s="5" t="s">
        <v>34</v>
      </c>
      <c r="C25" s="5" t="s">
        <v>66</v>
      </c>
      <c r="D25" s="6" t="str">
        <f t="shared" ref="D25:D37" si="1">IF(OR(O25="",P25=""),"",TEXT(INT((MOD(P25-O25,86400*$I$4))/(3600*$I$4)),"00")&amp;":"&amp;TEXT(INT(MOD(MOD(P25-O25,86400*$I$4),3600*$I$4)/(60*$I$4)),"00")&amp;":"&amp;TEXT(INT(MOD(MOD(P25-O25,86400*$I$4),60*$I$4)/$I$4),"00")&amp;":"&amp;TEXT(MOD(MOD(P25-O25,86400*$I$4),$I$4),"00"))</f>
        <v>00:01:00:00</v>
      </c>
      <c r="E25" s="6"/>
      <c r="F25" s="7" t="s">
        <v>164</v>
      </c>
      <c r="G25" s="5" t="s">
        <v>36</v>
      </c>
      <c r="H25" s="5"/>
      <c r="I25" s="7"/>
      <c r="J25" s="7"/>
      <c r="K25" s="5"/>
      <c r="L25" s="5"/>
      <c r="M25" s="5" t="s">
        <v>30</v>
      </c>
      <c r="N25" s="7" t="s">
        <v>68</v>
      </c>
      <c r="O25" s="9">
        <f t="shared" ref="O25:P25" si="2">IF(B25="","",(VALUE(LEFT(B25,2))*3600+VALUE(MID(B25,4,2))*60+VALUE(MID(B25,7,2)))*$I$4+VALUE(RIGHT(B25,2)))</f>
        <v>108000</v>
      </c>
      <c r="P25" s="9">
        <f t="shared" si="2"/>
        <v>109800</v>
      </c>
    </row>
    <row r="26" spans="1:16" ht="15.75" customHeight="1" x14ac:dyDescent="0.2">
      <c r="A26" s="10" t="s">
        <v>69</v>
      </c>
      <c r="B26" s="10" t="s">
        <v>66</v>
      </c>
      <c r="C26" s="10" t="s">
        <v>70</v>
      </c>
      <c r="D26" s="11" t="str">
        <f t="shared" si="1"/>
        <v>00:06:30:00</v>
      </c>
      <c r="E26" s="30" t="s">
        <v>186</v>
      </c>
      <c r="F26" s="12" t="s">
        <v>165</v>
      </c>
      <c r="G26" s="10" t="s">
        <v>36</v>
      </c>
      <c r="H26" s="10"/>
      <c r="I26" s="12"/>
      <c r="J26" s="12"/>
      <c r="K26" s="10"/>
      <c r="L26" s="10"/>
      <c r="M26" s="10" t="s">
        <v>30</v>
      </c>
      <c r="N26" s="12"/>
      <c r="O26" s="9">
        <f t="shared" ref="O26:P26" si="3">IF(B26="","",(VALUE(LEFT(B26,2))*3600+VALUE(MID(B26,4,2))*60+VALUE(MID(B26,7,2)))*$I$4+VALUE(RIGHT(B26,2)))</f>
        <v>109800</v>
      </c>
      <c r="P26" s="9">
        <f t="shared" si="3"/>
        <v>121500</v>
      </c>
    </row>
    <row r="27" spans="1:16" ht="15.75" customHeight="1" x14ac:dyDescent="0.2">
      <c r="A27" s="13" t="s">
        <v>72</v>
      </c>
      <c r="B27" s="13" t="s">
        <v>70</v>
      </c>
      <c r="C27" s="13" t="s">
        <v>73</v>
      </c>
      <c r="D27" s="14" t="str">
        <f t="shared" si="1"/>
        <v>00:01:00:00</v>
      </c>
      <c r="E27" s="14"/>
      <c r="F27" s="15" t="s">
        <v>44</v>
      </c>
      <c r="G27" s="13" t="s">
        <v>36</v>
      </c>
      <c r="H27" s="13"/>
      <c r="I27" s="15"/>
      <c r="J27" s="15"/>
      <c r="K27" s="13"/>
      <c r="L27" s="13"/>
      <c r="M27" s="13" t="s">
        <v>30</v>
      </c>
      <c r="N27" s="15"/>
      <c r="O27" s="9">
        <f t="shared" ref="O27:P27" si="4">IF(B27="","",(VALUE(LEFT(B27,2))*3600+VALUE(MID(B27,4,2))*60+VALUE(MID(B27,7,2)))*$I$4+VALUE(RIGHT(B27,2)))</f>
        <v>121500</v>
      </c>
      <c r="P27" s="9">
        <f t="shared" si="4"/>
        <v>123300</v>
      </c>
    </row>
    <row r="28" spans="1:16" ht="15.75" customHeight="1" x14ac:dyDescent="0.2">
      <c r="A28" s="10" t="s">
        <v>74</v>
      </c>
      <c r="B28" s="10" t="s">
        <v>73</v>
      </c>
      <c r="C28" s="10" t="s">
        <v>75</v>
      </c>
      <c r="D28" s="11" t="str">
        <f t="shared" si="1"/>
        <v>00:07:00:00</v>
      </c>
      <c r="E28" s="11"/>
      <c r="F28" s="12" t="s">
        <v>166</v>
      </c>
      <c r="G28" s="10" t="s">
        <v>36</v>
      </c>
      <c r="H28" s="10"/>
      <c r="I28" s="12"/>
      <c r="J28" s="12"/>
      <c r="K28" s="10"/>
      <c r="L28" s="10"/>
      <c r="M28" s="10" t="s">
        <v>30</v>
      </c>
      <c r="N28" s="12"/>
      <c r="O28" s="9">
        <f t="shared" ref="O28:P28" si="5">IF(B28="","",(VALUE(LEFT(B28,2))*3600+VALUE(MID(B28,4,2))*60+VALUE(MID(B28,7,2)))*$I$4+VALUE(RIGHT(B28,2)))</f>
        <v>123300</v>
      </c>
      <c r="P28" s="9">
        <f t="shared" si="5"/>
        <v>135900</v>
      </c>
    </row>
    <row r="29" spans="1:16" ht="15.75" customHeight="1" x14ac:dyDescent="0.2">
      <c r="A29" s="13" t="s">
        <v>77</v>
      </c>
      <c r="B29" s="13" t="s">
        <v>75</v>
      </c>
      <c r="C29" s="13" t="s">
        <v>78</v>
      </c>
      <c r="D29" s="14" t="str">
        <f t="shared" si="1"/>
        <v>00:01:30:00</v>
      </c>
      <c r="E29" s="14"/>
      <c r="F29" s="15" t="s">
        <v>44</v>
      </c>
      <c r="G29" s="13" t="s">
        <v>36</v>
      </c>
      <c r="H29" s="13"/>
      <c r="I29" s="15"/>
      <c r="J29" s="15"/>
      <c r="K29" s="13"/>
      <c r="L29" s="13"/>
      <c r="M29" s="13" t="s">
        <v>30</v>
      </c>
      <c r="N29" s="15" t="s">
        <v>79</v>
      </c>
      <c r="O29" s="9">
        <f t="shared" ref="O29:P29" si="6">IF(B29="","",(VALUE(LEFT(B29,2))*3600+VALUE(MID(B29,4,2))*60+VALUE(MID(B29,7,2)))*$I$4+VALUE(RIGHT(B29,2)))</f>
        <v>135900</v>
      </c>
      <c r="P29" s="9">
        <f t="shared" si="6"/>
        <v>138600</v>
      </c>
    </row>
    <row r="30" spans="1:16" ht="15.75" customHeight="1" x14ac:dyDescent="0.2">
      <c r="A30" s="10">
        <v>9</v>
      </c>
      <c r="B30" s="10" t="s">
        <v>78</v>
      </c>
      <c r="C30" s="10" t="s">
        <v>80</v>
      </c>
      <c r="D30" s="11" t="str">
        <f t="shared" si="1"/>
        <v>00:06:30:00</v>
      </c>
      <c r="E30" s="30" t="s">
        <v>187</v>
      </c>
      <c r="F30" s="12" t="s">
        <v>167</v>
      </c>
      <c r="G30" s="10" t="s">
        <v>36</v>
      </c>
      <c r="H30" s="10"/>
      <c r="I30" s="12"/>
      <c r="J30" s="12"/>
      <c r="K30" s="10"/>
      <c r="L30" s="10"/>
      <c r="M30" s="10" t="s">
        <v>30</v>
      </c>
      <c r="N30" s="12"/>
      <c r="O30" s="9">
        <f t="shared" ref="O30:P30" si="7">IF(B30="","",(VALUE(LEFT(B30,2))*3600+VALUE(MID(B30,4,2))*60+VALUE(MID(B30,7,2)))*$I$4+VALUE(RIGHT(B30,2)))</f>
        <v>138600</v>
      </c>
      <c r="P30" s="9">
        <f t="shared" si="7"/>
        <v>150300</v>
      </c>
    </row>
    <row r="31" spans="1:16" ht="15.75" customHeight="1" x14ac:dyDescent="0.2">
      <c r="A31" s="13" t="s">
        <v>82</v>
      </c>
      <c r="B31" s="13" t="s">
        <v>80</v>
      </c>
      <c r="C31" s="13" t="s">
        <v>83</v>
      </c>
      <c r="D31" s="14" t="str">
        <f t="shared" si="1"/>
        <v>00:02:30:00</v>
      </c>
      <c r="E31" s="14"/>
      <c r="F31" s="15" t="s">
        <v>168</v>
      </c>
      <c r="G31" s="13" t="s">
        <v>36</v>
      </c>
      <c r="H31" s="13"/>
      <c r="I31" s="15"/>
      <c r="J31" s="15"/>
      <c r="K31" s="13"/>
      <c r="L31" s="13"/>
      <c r="M31" s="13" t="s">
        <v>30</v>
      </c>
      <c r="N31" s="15" t="s">
        <v>85</v>
      </c>
      <c r="O31" s="9">
        <f t="shared" ref="O31:P31" si="8">IF(B31="","",(VALUE(LEFT(B31,2))*3600+VALUE(MID(B31,4,2))*60+VALUE(MID(B31,7,2)))*$I$4+VALUE(RIGHT(B31,2)))</f>
        <v>150300</v>
      </c>
      <c r="P31" s="9">
        <f t="shared" si="8"/>
        <v>154800</v>
      </c>
    </row>
    <row r="32" spans="1:16" ht="15.75" customHeight="1" x14ac:dyDescent="0.2">
      <c r="A32" s="17">
        <v>9.1999999999999993</v>
      </c>
      <c r="B32" s="5" t="s">
        <v>83</v>
      </c>
      <c r="C32" s="5" t="s">
        <v>52</v>
      </c>
      <c r="D32" s="6" t="str">
        <f t="shared" si="1"/>
        <v>00:01:00:00</v>
      </c>
      <c r="E32" s="6"/>
      <c r="F32" s="18" t="s">
        <v>169</v>
      </c>
      <c r="G32" s="5" t="s">
        <v>36</v>
      </c>
      <c r="H32" s="5"/>
      <c r="I32" s="7"/>
      <c r="J32" s="7"/>
      <c r="K32" s="5"/>
      <c r="L32" s="5"/>
      <c r="M32" s="5" t="s">
        <v>30</v>
      </c>
      <c r="N32" s="7"/>
      <c r="O32" s="9">
        <f t="shared" ref="O32:P32" si="9">IF(B32="","",(VALUE(LEFT(B32,2))*3600+VALUE(MID(B32,4,2))*60+VALUE(MID(B32,7,2)))*$I$4+VALUE(RIGHT(B32,2)))</f>
        <v>154800</v>
      </c>
      <c r="P32" s="9">
        <f t="shared" si="9"/>
        <v>156600</v>
      </c>
    </row>
    <row r="33" spans="1:16" ht="15.75" customHeight="1" x14ac:dyDescent="0.2">
      <c r="A33" s="10" t="s">
        <v>87</v>
      </c>
      <c r="B33" s="10" t="s">
        <v>52</v>
      </c>
      <c r="C33" s="10" t="s">
        <v>56</v>
      </c>
      <c r="D33" s="11" t="str">
        <f t="shared" si="1"/>
        <v>00:06:00:00</v>
      </c>
      <c r="E33" s="11"/>
      <c r="F33" s="12" t="s">
        <v>170</v>
      </c>
      <c r="G33" s="10" t="s">
        <v>36</v>
      </c>
      <c r="H33" s="10"/>
      <c r="I33" s="12"/>
      <c r="J33" s="12"/>
      <c r="K33" s="10"/>
      <c r="L33" s="10"/>
      <c r="M33" s="10" t="s">
        <v>30</v>
      </c>
      <c r="N33" s="12"/>
      <c r="O33" s="9">
        <f t="shared" ref="O33:P33" si="10">IF(B33="","",(VALUE(LEFT(B33,2))*3600+VALUE(MID(B33,4,2))*60+VALUE(MID(B33,7,2)))*$I$4+VALUE(RIGHT(B33,2)))</f>
        <v>156600</v>
      </c>
      <c r="P33" s="9">
        <f t="shared" si="10"/>
        <v>167400</v>
      </c>
    </row>
    <row r="34" spans="1:16" ht="15.75" customHeight="1" x14ac:dyDescent="0.2">
      <c r="A34" s="13" t="s">
        <v>89</v>
      </c>
      <c r="B34" s="13" t="s">
        <v>56</v>
      </c>
      <c r="C34" s="13" t="s">
        <v>90</v>
      </c>
      <c r="D34" s="14" t="str">
        <f t="shared" si="1"/>
        <v>00:01:00:00</v>
      </c>
      <c r="E34" s="14"/>
      <c r="F34" s="15" t="s">
        <v>44</v>
      </c>
      <c r="G34" s="13" t="s">
        <v>36</v>
      </c>
      <c r="H34" s="13"/>
      <c r="I34" s="15"/>
      <c r="J34" s="15"/>
      <c r="K34" s="13"/>
      <c r="L34" s="13"/>
      <c r="M34" s="13" t="s">
        <v>30</v>
      </c>
      <c r="N34" s="15"/>
      <c r="O34" s="9">
        <f t="shared" ref="O34:P34" si="11">IF(B34="","",(VALUE(LEFT(B34,2))*3600+VALUE(MID(B34,4,2))*60+VALUE(MID(B34,7,2)))*$I$4+VALUE(RIGHT(B34,2)))</f>
        <v>167400</v>
      </c>
      <c r="P34" s="9">
        <f t="shared" si="11"/>
        <v>169200</v>
      </c>
    </row>
    <row r="35" spans="1:16" ht="15.75" customHeight="1" x14ac:dyDescent="0.2">
      <c r="A35" s="5" t="s">
        <v>91</v>
      </c>
      <c r="B35" s="5" t="s">
        <v>90</v>
      </c>
      <c r="C35" s="5" t="s">
        <v>92</v>
      </c>
      <c r="D35" s="6" t="str">
        <f t="shared" si="1"/>
        <v>00:03:00:00</v>
      </c>
      <c r="E35" s="6"/>
      <c r="F35" s="7" t="s">
        <v>171</v>
      </c>
      <c r="G35" s="5" t="s">
        <v>36</v>
      </c>
      <c r="H35" s="5"/>
      <c r="I35" s="7"/>
      <c r="J35" s="7"/>
      <c r="K35" s="5"/>
      <c r="L35" s="5"/>
      <c r="M35" s="5" t="s">
        <v>30</v>
      </c>
      <c r="N35" s="7"/>
      <c r="O35" s="9">
        <f t="shared" ref="O35:P35" si="12">IF(B35="","",(VALUE(LEFT(B35,2))*3600+VALUE(MID(B35,4,2))*60+VALUE(MID(B35,7,2)))*$I$4+VALUE(RIGHT(B35,2)))</f>
        <v>169200</v>
      </c>
      <c r="P35" s="9">
        <f t="shared" si="12"/>
        <v>174600</v>
      </c>
    </row>
    <row r="36" spans="1:16" ht="15.75" customHeight="1" x14ac:dyDescent="0.2">
      <c r="A36" s="10" t="s">
        <v>94</v>
      </c>
      <c r="B36" s="10" t="s">
        <v>92</v>
      </c>
      <c r="C36" s="10" t="s">
        <v>95</v>
      </c>
      <c r="D36" s="11" t="str">
        <f t="shared" si="1"/>
        <v>00:07:30:00</v>
      </c>
      <c r="E36" s="30" t="s">
        <v>186</v>
      </c>
      <c r="F36" s="12" t="s">
        <v>172</v>
      </c>
      <c r="G36" s="10" t="s">
        <v>36</v>
      </c>
      <c r="H36" s="10"/>
      <c r="I36" s="12"/>
      <c r="J36" s="12"/>
      <c r="K36" s="10"/>
      <c r="L36" s="10"/>
      <c r="M36" s="10" t="s">
        <v>30</v>
      </c>
      <c r="N36" s="12"/>
      <c r="O36" s="9">
        <f t="shared" ref="O36:P36" si="13">IF(B36="","",(VALUE(LEFT(B36,2))*3600+VALUE(MID(B36,4,2))*60+VALUE(MID(B36,7,2)))*$I$4+VALUE(RIGHT(B36,2)))</f>
        <v>174600</v>
      </c>
      <c r="P36" s="9">
        <f t="shared" si="13"/>
        <v>188100</v>
      </c>
    </row>
    <row r="37" spans="1:16" ht="15.75" customHeight="1" x14ac:dyDescent="0.2">
      <c r="A37" s="5" t="s">
        <v>97</v>
      </c>
      <c r="B37" s="5" t="s">
        <v>95</v>
      </c>
      <c r="C37" s="5" t="s">
        <v>98</v>
      </c>
      <c r="D37" s="6" t="str">
        <f t="shared" si="1"/>
        <v>00:03:00:00</v>
      </c>
      <c r="E37" s="6"/>
      <c r="F37" s="18" t="s">
        <v>173</v>
      </c>
      <c r="G37" s="5" t="s">
        <v>36</v>
      </c>
      <c r="H37" s="5"/>
      <c r="I37" s="7"/>
      <c r="J37" s="7"/>
      <c r="K37" s="5"/>
      <c r="L37" s="5"/>
      <c r="M37" s="5" t="s">
        <v>30</v>
      </c>
      <c r="N37" s="7"/>
      <c r="O37" s="9">
        <f t="shared" ref="O37:P37" si="14">IF(B37="","",(VALUE(LEFT(B37,2))*3600+VALUE(MID(B37,4,2))*60+VALUE(MID(B37,7,2)))*$I$4+VALUE(RIGHT(B37,2)))</f>
        <v>188100</v>
      </c>
      <c r="P37" s="9">
        <f t="shared" si="14"/>
        <v>193500</v>
      </c>
    </row>
    <row r="38" spans="1:16" ht="15.75" customHeight="1" x14ac:dyDescent="0.2"/>
    <row r="39" spans="1:16" ht="15.75" customHeight="1" x14ac:dyDescent="0.2"/>
    <row r="40" spans="1:16" ht="15.75" customHeight="1" x14ac:dyDescent="0.2"/>
    <row r="41" spans="1:16" ht="15.75" customHeight="1" x14ac:dyDescent="0.2"/>
    <row r="42" spans="1:16" ht="15.75" customHeight="1" x14ac:dyDescent="0.2"/>
    <row r="43" spans="1:16" ht="15.75" customHeight="1" x14ac:dyDescent="0.2"/>
    <row r="44" spans="1:16" ht="15.75" customHeight="1" x14ac:dyDescent="0.2"/>
    <row r="45" spans="1:16" ht="15.75" customHeight="1" x14ac:dyDescent="0.2"/>
    <row r="46" spans="1:16" ht="15.75" customHeight="1" x14ac:dyDescent="0.2"/>
    <row r="47" spans="1:16" ht="15.75" customHeight="1" x14ac:dyDescent="0.2"/>
    <row r="48" spans="1:1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0">
    <mergeCell ref="A8:N8"/>
    <mergeCell ref="A23:N23"/>
    <mergeCell ref="A24:N24"/>
    <mergeCell ref="A1:N1"/>
    <mergeCell ref="B2:F2"/>
    <mergeCell ref="I2:J2"/>
    <mergeCell ref="B3:F3"/>
    <mergeCell ref="I3:J3"/>
    <mergeCell ref="B4:F4"/>
    <mergeCell ref="B5:F5"/>
  </mergeCells>
  <phoneticPr fontId="13" type="noConversion"/>
  <conditionalFormatting sqref="M8:M37">
    <cfRule type="cellIs" dxfId="5" priority="1" operator="equal">
      <formula>"Live"</formula>
    </cfRule>
    <cfRule type="cellIs" dxfId="4" priority="2" operator="equal">
      <formula>"Ready"</formula>
    </cfRule>
    <cfRule type="cellIs" dxfId="3" priority="3" operator="equal">
      <formula>"Standby"</formula>
    </cfRule>
    <cfRule type="cellIs" dxfId="2" priority="4" operator="equal">
      <formula>"Hold"</formula>
    </cfRule>
    <cfRule type="cellIs" dxfId="1" priority="5" operator="equal">
      <formula>"Done"</formula>
    </cfRule>
    <cfRule type="cellIs" dxfId="0" priority="6" operator="equal">
      <formula>"Cut"</formula>
    </cfRule>
  </conditionalFormatting>
  <dataValidations count="3">
    <dataValidation type="list" allowBlank="1" sqref="M9:M22 M25:M37" xr:uid="{00000000-0002-0000-0000-000000000000}">
      <formula1>"Standby,Ready,Live,Done,Hold,Cut"</formula1>
    </dataValidation>
    <dataValidation type="list" allowBlank="1" sqref="G9:G22 G25:G37" xr:uid="{00000000-0002-0000-0000-000001000000}">
      <formula1>"TC Chase,GO,Follow,Auto-Follow,MIDI,OSC,RS-232,GPI,sACN,Manual"</formula1>
    </dataValidation>
    <dataValidation type="list" allowBlank="1" sqref="H9:H22 H25:H37" xr:uid="{00000000-0002-0000-0000-000004000000}">
      <formula1>"Sound,LX,Video,Band"</formula1>
    </dataValidation>
  </dataValidations>
  <pageMargins left="0.75" right="0.75" top="1" bottom="1" header="0" footer="0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2000000}">
          <x14:formula1>
            <xm:f>Devices!$A$2:$A$8</xm:f>
          </x14:formula1>
          <xm:sqref>I9:I22 I25:I37</xm:sqref>
        </x14:dataValidation>
        <x14:dataValidation type="list" allowBlank="1" xr:uid="{00000000-0002-0000-0000-000003000000}">
          <x14:formula1>
            <xm:f>Scenes!$A$2:$A$21</xm:f>
          </x14:formula1>
          <xm:sqref>F9:F22 F25:F37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20" customWidth="1"/>
    <col min="2" max="3" width="16" customWidth="1"/>
    <col min="4" max="4" width="18" customWidth="1"/>
    <col min="5" max="5" width="8" customWidth="1"/>
    <col min="6" max="6" width="30" customWidth="1"/>
    <col min="7" max="26" width="8.6640625" customWidth="1"/>
  </cols>
  <sheetData>
    <row r="1" spans="1:6" x14ac:dyDescent="0.2">
      <c r="A1" s="3" t="s">
        <v>19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24</v>
      </c>
    </row>
    <row r="2" spans="1:6" x14ac:dyDescent="0.2">
      <c r="A2" s="16" t="s">
        <v>9</v>
      </c>
      <c r="B2" s="16" t="s">
        <v>104</v>
      </c>
      <c r="C2" s="16" t="s">
        <v>105</v>
      </c>
      <c r="D2" s="16" t="s">
        <v>106</v>
      </c>
      <c r="E2" s="16" t="s">
        <v>107</v>
      </c>
      <c r="F2" s="16" t="s">
        <v>108</v>
      </c>
    </row>
    <row r="3" spans="1:6" x14ac:dyDescent="0.2">
      <c r="A3" s="16" t="s">
        <v>109</v>
      </c>
      <c r="B3" s="16" t="s">
        <v>110</v>
      </c>
      <c r="C3" s="16" t="s">
        <v>111</v>
      </c>
      <c r="D3" s="16" t="s">
        <v>112</v>
      </c>
      <c r="E3" s="16" t="s">
        <v>113</v>
      </c>
      <c r="F3" s="16" t="s">
        <v>114</v>
      </c>
    </row>
    <row r="4" spans="1:6" x14ac:dyDescent="0.2">
      <c r="A4" s="16" t="s">
        <v>115</v>
      </c>
      <c r="B4" s="16" t="s">
        <v>116</v>
      </c>
      <c r="C4" s="16" t="s">
        <v>117</v>
      </c>
      <c r="D4" s="16" t="s">
        <v>118</v>
      </c>
      <c r="E4" s="16" t="s">
        <v>119</v>
      </c>
      <c r="F4" s="16" t="s">
        <v>120</v>
      </c>
    </row>
    <row r="5" spans="1:6" x14ac:dyDescent="0.2">
      <c r="A5" s="16" t="s">
        <v>121</v>
      </c>
      <c r="B5" s="16" t="s">
        <v>116</v>
      </c>
      <c r="C5" s="16" t="s">
        <v>117</v>
      </c>
      <c r="D5" s="16" t="s">
        <v>122</v>
      </c>
      <c r="E5" s="16" t="s">
        <v>123</v>
      </c>
      <c r="F5" s="16"/>
    </row>
    <row r="6" spans="1:6" x14ac:dyDescent="0.2">
      <c r="A6" s="16" t="s">
        <v>124</v>
      </c>
      <c r="B6" s="16" t="s">
        <v>125</v>
      </c>
      <c r="C6" s="16" t="s">
        <v>126</v>
      </c>
      <c r="D6" s="16" t="s">
        <v>127</v>
      </c>
      <c r="E6" s="16" t="s">
        <v>128</v>
      </c>
      <c r="F6" s="16" t="s">
        <v>129</v>
      </c>
    </row>
    <row r="7" spans="1:6" x14ac:dyDescent="0.2">
      <c r="A7" s="16" t="s">
        <v>130</v>
      </c>
      <c r="B7" s="16" t="s">
        <v>131</v>
      </c>
      <c r="C7" s="16" t="s">
        <v>132</v>
      </c>
      <c r="D7" s="16" t="s">
        <v>133</v>
      </c>
      <c r="E7" s="16" t="s">
        <v>128</v>
      </c>
      <c r="F7" s="16" t="s">
        <v>134</v>
      </c>
    </row>
    <row r="8" spans="1:6" x14ac:dyDescent="0.2">
      <c r="A8" s="16" t="s">
        <v>135</v>
      </c>
      <c r="B8" s="16" t="s">
        <v>136</v>
      </c>
      <c r="C8" s="16" t="s">
        <v>137</v>
      </c>
      <c r="D8" s="16" t="s">
        <v>138</v>
      </c>
      <c r="E8" s="16" t="s">
        <v>128</v>
      </c>
      <c r="F8" s="16" t="s">
        <v>139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F8" xr:uid="{00000000-0009-0000-0000-000001000000}"/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36" customWidth="1"/>
    <col min="2" max="26" width="8.6640625" customWidth="1"/>
  </cols>
  <sheetData>
    <row r="1" spans="1:1" x14ac:dyDescent="0.2">
      <c r="A1" s="3" t="s">
        <v>140</v>
      </c>
    </row>
    <row r="2" spans="1:1" x14ac:dyDescent="0.2">
      <c r="A2" s="16" t="s">
        <v>28</v>
      </c>
    </row>
    <row r="3" spans="1:1" x14ac:dyDescent="0.2">
      <c r="A3" s="16" t="s">
        <v>35</v>
      </c>
    </row>
    <row r="4" spans="1:1" x14ac:dyDescent="0.2">
      <c r="A4" s="16" t="s">
        <v>40</v>
      </c>
    </row>
    <row r="5" spans="1:1" x14ac:dyDescent="0.2">
      <c r="A5" s="16" t="s">
        <v>44</v>
      </c>
    </row>
    <row r="6" spans="1:1" x14ac:dyDescent="0.2">
      <c r="A6" s="16" t="s">
        <v>46</v>
      </c>
    </row>
    <row r="7" spans="1:1" x14ac:dyDescent="0.2">
      <c r="A7" s="16" t="s">
        <v>49</v>
      </c>
    </row>
    <row r="8" spans="1:1" x14ac:dyDescent="0.2">
      <c r="A8" s="16" t="s">
        <v>53</v>
      </c>
    </row>
    <row r="9" spans="1:1" x14ac:dyDescent="0.2">
      <c r="A9" s="16" t="s">
        <v>57</v>
      </c>
    </row>
    <row r="10" spans="1:1" x14ac:dyDescent="0.2">
      <c r="A10" s="16" t="s">
        <v>62</v>
      </c>
    </row>
    <row r="11" spans="1:1" x14ac:dyDescent="0.2">
      <c r="A11" s="16" t="s">
        <v>63</v>
      </c>
    </row>
    <row r="12" spans="1:1" x14ac:dyDescent="0.2">
      <c r="A12" s="16" t="s">
        <v>67</v>
      </c>
    </row>
    <row r="13" spans="1:1" x14ac:dyDescent="0.2">
      <c r="A13" s="16" t="s">
        <v>71</v>
      </c>
    </row>
    <row r="14" spans="1:1" x14ac:dyDescent="0.2">
      <c r="A14" s="16" t="s">
        <v>76</v>
      </c>
    </row>
    <row r="15" spans="1:1" x14ac:dyDescent="0.2">
      <c r="A15" s="16" t="s">
        <v>81</v>
      </c>
    </row>
    <row r="16" spans="1:1" x14ac:dyDescent="0.2">
      <c r="A16" s="16" t="s">
        <v>84</v>
      </c>
    </row>
    <row r="17" spans="1:1" x14ac:dyDescent="0.2">
      <c r="A17" s="16" t="s">
        <v>86</v>
      </c>
    </row>
    <row r="18" spans="1:1" x14ac:dyDescent="0.2">
      <c r="A18" s="16" t="s">
        <v>88</v>
      </c>
    </row>
    <row r="19" spans="1:1" x14ac:dyDescent="0.2">
      <c r="A19" s="16" t="s">
        <v>93</v>
      </c>
    </row>
    <row r="20" spans="1:1" x14ac:dyDescent="0.2">
      <c r="A20" s="16" t="s">
        <v>96</v>
      </c>
    </row>
    <row r="21" spans="1:1" ht="15.75" customHeight="1" x14ac:dyDescent="0.2">
      <c r="A21" s="16" t="s">
        <v>99</v>
      </c>
    </row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A21" xr:uid="{00000000-0009-0000-0000-000002000000}"/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Claude Log</vt:lpstr>
      <vt:lpstr>Cues</vt:lpstr>
      <vt:lpstr>Devices</vt:lpstr>
      <vt:lpstr>Scenes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Patrice iPat</cp:lastModifiedBy>
  <dcterms:modified xsi:type="dcterms:W3CDTF">2026-10-27T16:17:19Z</dcterms:modified>
</cp:coreProperties>
</file>